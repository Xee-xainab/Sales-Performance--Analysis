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mc:AlternateContent xmlns:mc="http://schemas.openxmlformats.org/markup-compatibility/2006">
    <mc:Choice Requires="x15">
      <x15ac:absPath xmlns:x15ac="http://schemas.microsoft.com/office/spreadsheetml/2010/11/ac" url="C:\Users\zainab\Documents\"/>
    </mc:Choice>
  </mc:AlternateContent>
  <xr:revisionPtr revIDLastSave="0" documentId="8_{692AB0FB-F4CA-45C8-920F-79CBDC87D4F3}" xr6:coauthVersionLast="44" xr6:coauthVersionMax="44" xr10:uidLastSave="{00000000-0000-0000-0000-000000000000}"/>
  <bookViews>
    <workbookView xWindow="-110" yWindow="-110" windowWidth="19420" windowHeight="12420" activeTab="3" xr2:uid="{00000000-000D-0000-FFFF-FFFF00000000}"/>
  </bookViews>
  <sheets>
    <sheet name="Sales Data" sheetId="1" r:id="rId1"/>
    <sheet name="cleaned data" sheetId="2" r:id="rId2"/>
    <sheet name="Pivot table" sheetId="4" r:id="rId3"/>
    <sheet name="BI Dashboard" sheetId="7" r:id="rId4"/>
  </sheets>
  <definedNames>
    <definedName name="NativeTimeline_Date2">#N/A</definedName>
    <definedName name="Slicer_Branch">#N/A</definedName>
    <definedName name="Slicer_Product">#N/A</definedName>
    <definedName name="Slicer_Status">#N/A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O2" i="4" l="1"/>
  <c r="O4" i="4" l="1"/>
  <c r="O3" i="4"/>
  <c r="I101" i="2"/>
  <c r="J101" i="2" s="1"/>
  <c r="H101" i="2"/>
  <c r="I100" i="2"/>
  <c r="J100" i="2" s="1"/>
  <c r="H100" i="2"/>
  <c r="J99" i="2"/>
  <c r="I99" i="2"/>
  <c r="H99" i="2"/>
  <c r="I98" i="2"/>
  <c r="J98" i="2" s="1"/>
  <c r="H98" i="2"/>
  <c r="I97" i="2"/>
  <c r="J97" i="2" s="1"/>
  <c r="H97" i="2"/>
  <c r="J96" i="2"/>
  <c r="I96" i="2"/>
  <c r="H96" i="2"/>
  <c r="I95" i="2"/>
  <c r="J95" i="2" s="1"/>
  <c r="H95" i="2"/>
  <c r="I94" i="2"/>
  <c r="J94" i="2" s="1"/>
  <c r="H94" i="2"/>
  <c r="I93" i="2"/>
  <c r="J93" i="2" s="1"/>
  <c r="H93" i="2"/>
  <c r="J92" i="2"/>
  <c r="I92" i="2"/>
  <c r="H92" i="2"/>
  <c r="I91" i="2"/>
  <c r="J91" i="2" s="1"/>
  <c r="H91" i="2"/>
  <c r="I90" i="2"/>
  <c r="J90" i="2" s="1"/>
  <c r="H90" i="2"/>
  <c r="I89" i="2"/>
  <c r="J89" i="2" s="1"/>
  <c r="H89" i="2"/>
  <c r="J88" i="2"/>
  <c r="I88" i="2"/>
  <c r="H88" i="2"/>
  <c r="I87" i="2"/>
  <c r="J87" i="2" s="1"/>
  <c r="H87" i="2"/>
  <c r="I86" i="2"/>
  <c r="J86" i="2" s="1"/>
  <c r="H86" i="2"/>
  <c r="I85" i="2"/>
  <c r="J85" i="2" s="1"/>
  <c r="H85" i="2"/>
  <c r="J84" i="2"/>
  <c r="I84" i="2"/>
  <c r="H84" i="2"/>
  <c r="I83" i="2"/>
  <c r="J83" i="2" s="1"/>
  <c r="H83" i="2"/>
  <c r="I82" i="2"/>
  <c r="J82" i="2" s="1"/>
  <c r="H82" i="2"/>
  <c r="I81" i="2"/>
  <c r="J81" i="2" s="1"/>
  <c r="H81" i="2"/>
  <c r="J80" i="2"/>
  <c r="I80" i="2"/>
  <c r="H80" i="2"/>
  <c r="I79" i="2"/>
  <c r="J79" i="2" s="1"/>
  <c r="H79" i="2"/>
  <c r="I78" i="2"/>
  <c r="J78" i="2" s="1"/>
  <c r="H78" i="2"/>
  <c r="I77" i="2"/>
  <c r="J77" i="2" s="1"/>
  <c r="H77" i="2"/>
  <c r="J76" i="2"/>
  <c r="I76" i="2"/>
  <c r="H76" i="2"/>
  <c r="I75" i="2"/>
  <c r="J75" i="2" s="1"/>
  <c r="H75" i="2"/>
  <c r="I74" i="2"/>
  <c r="J74" i="2" s="1"/>
  <c r="H74" i="2"/>
  <c r="I73" i="2"/>
  <c r="J73" i="2" s="1"/>
  <c r="H73" i="2"/>
  <c r="J72" i="2"/>
  <c r="I72" i="2"/>
  <c r="H72" i="2"/>
  <c r="I71" i="2"/>
  <c r="J71" i="2" s="1"/>
  <c r="H71" i="2"/>
  <c r="I70" i="2"/>
  <c r="J70" i="2" s="1"/>
  <c r="H70" i="2"/>
  <c r="I69" i="2"/>
  <c r="J69" i="2" s="1"/>
  <c r="H69" i="2"/>
  <c r="J68" i="2"/>
  <c r="I68" i="2"/>
  <c r="H68" i="2"/>
  <c r="I67" i="2"/>
  <c r="J67" i="2" s="1"/>
  <c r="H67" i="2"/>
  <c r="I66" i="2"/>
  <c r="J66" i="2" s="1"/>
  <c r="H66" i="2"/>
  <c r="I65" i="2"/>
  <c r="J65" i="2" s="1"/>
  <c r="H65" i="2"/>
  <c r="J64" i="2"/>
  <c r="I64" i="2"/>
  <c r="H64" i="2"/>
  <c r="I63" i="2"/>
  <c r="J63" i="2" s="1"/>
  <c r="H63" i="2"/>
  <c r="I62" i="2"/>
  <c r="J62" i="2" s="1"/>
  <c r="H62" i="2"/>
  <c r="I61" i="2"/>
  <c r="J61" i="2" s="1"/>
  <c r="H61" i="2"/>
  <c r="J60" i="2"/>
  <c r="I60" i="2"/>
  <c r="H60" i="2"/>
  <c r="I59" i="2"/>
  <c r="J59" i="2" s="1"/>
  <c r="H59" i="2"/>
  <c r="I58" i="2"/>
  <c r="J58" i="2" s="1"/>
  <c r="H58" i="2"/>
  <c r="I57" i="2"/>
  <c r="J57" i="2" s="1"/>
  <c r="H57" i="2"/>
  <c r="J56" i="2"/>
  <c r="I56" i="2"/>
  <c r="H56" i="2"/>
  <c r="I55" i="2"/>
  <c r="J55" i="2" s="1"/>
  <c r="H55" i="2"/>
  <c r="I54" i="2"/>
  <c r="J54" i="2" s="1"/>
  <c r="H54" i="2"/>
  <c r="I53" i="2"/>
  <c r="J53" i="2" s="1"/>
  <c r="H53" i="2"/>
  <c r="J52" i="2"/>
  <c r="I52" i="2"/>
  <c r="H52" i="2"/>
  <c r="I51" i="2"/>
  <c r="J51" i="2" s="1"/>
  <c r="H51" i="2"/>
  <c r="I50" i="2"/>
  <c r="J50" i="2" s="1"/>
  <c r="H50" i="2"/>
  <c r="I49" i="2"/>
  <c r="J49" i="2" s="1"/>
  <c r="H49" i="2"/>
  <c r="J48" i="2"/>
  <c r="I48" i="2"/>
  <c r="H48" i="2"/>
  <c r="I47" i="2"/>
  <c r="J47" i="2" s="1"/>
  <c r="H47" i="2"/>
  <c r="I46" i="2"/>
  <c r="J46" i="2" s="1"/>
  <c r="H46" i="2"/>
  <c r="I45" i="2"/>
  <c r="J45" i="2" s="1"/>
  <c r="H45" i="2"/>
  <c r="J44" i="2"/>
  <c r="I44" i="2"/>
  <c r="H44" i="2"/>
  <c r="I43" i="2"/>
  <c r="J43" i="2" s="1"/>
  <c r="H43" i="2"/>
  <c r="I42" i="2"/>
  <c r="J42" i="2" s="1"/>
  <c r="H42" i="2"/>
  <c r="I41" i="2"/>
  <c r="J41" i="2" s="1"/>
  <c r="H41" i="2"/>
  <c r="J40" i="2"/>
  <c r="I40" i="2"/>
  <c r="H40" i="2"/>
  <c r="I39" i="2"/>
  <c r="J39" i="2" s="1"/>
  <c r="H39" i="2"/>
  <c r="I38" i="2"/>
  <c r="J38" i="2" s="1"/>
  <c r="H38" i="2"/>
  <c r="I37" i="2"/>
  <c r="J37" i="2" s="1"/>
  <c r="H37" i="2"/>
  <c r="J36" i="2"/>
  <c r="I36" i="2"/>
  <c r="H36" i="2"/>
  <c r="I35" i="2"/>
  <c r="J35" i="2" s="1"/>
  <c r="H35" i="2"/>
  <c r="I34" i="2"/>
  <c r="J34" i="2" s="1"/>
  <c r="H34" i="2"/>
  <c r="I33" i="2"/>
  <c r="J33" i="2" s="1"/>
  <c r="H33" i="2"/>
  <c r="J32" i="2"/>
  <c r="I32" i="2"/>
  <c r="H32" i="2"/>
  <c r="I31" i="2"/>
  <c r="J31" i="2" s="1"/>
  <c r="H31" i="2"/>
  <c r="I30" i="2"/>
  <c r="J30" i="2" s="1"/>
  <c r="H30" i="2"/>
  <c r="I29" i="2"/>
  <c r="J29" i="2" s="1"/>
  <c r="H29" i="2"/>
  <c r="J28" i="2"/>
  <c r="I28" i="2"/>
  <c r="H28" i="2"/>
  <c r="I27" i="2"/>
  <c r="J27" i="2" s="1"/>
  <c r="H27" i="2"/>
  <c r="I26" i="2"/>
  <c r="J26" i="2" s="1"/>
  <c r="H26" i="2"/>
  <c r="I25" i="2"/>
  <c r="J25" i="2" s="1"/>
  <c r="H25" i="2"/>
  <c r="J24" i="2"/>
  <c r="I24" i="2"/>
  <c r="H24" i="2"/>
  <c r="I23" i="2"/>
  <c r="J23" i="2" s="1"/>
  <c r="H23" i="2"/>
  <c r="I22" i="2"/>
  <c r="J22" i="2" s="1"/>
  <c r="H22" i="2"/>
  <c r="I21" i="2"/>
  <c r="J21" i="2" s="1"/>
  <c r="H21" i="2"/>
  <c r="J20" i="2"/>
  <c r="I20" i="2"/>
  <c r="H20" i="2"/>
  <c r="I19" i="2"/>
  <c r="J19" i="2" s="1"/>
  <c r="H19" i="2"/>
  <c r="I18" i="2"/>
  <c r="J18" i="2" s="1"/>
  <c r="H18" i="2"/>
  <c r="I17" i="2"/>
  <c r="J17" i="2" s="1"/>
  <c r="H17" i="2"/>
  <c r="J16" i="2"/>
  <c r="I16" i="2"/>
  <c r="H16" i="2"/>
  <c r="I15" i="2"/>
  <c r="J15" i="2" s="1"/>
  <c r="H15" i="2"/>
  <c r="I14" i="2"/>
  <c r="J14" i="2" s="1"/>
  <c r="H14" i="2"/>
  <c r="I13" i="2"/>
  <c r="J13" i="2" s="1"/>
  <c r="H13" i="2"/>
  <c r="J12" i="2"/>
  <c r="I12" i="2"/>
  <c r="H12" i="2"/>
  <c r="I11" i="2"/>
  <c r="J11" i="2" s="1"/>
  <c r="H11" i="2"/>
  <c r="I10" i="2"/>
  <c r="J10" i="2" s="1"/>
  <c r="H10" i="2"/>
  <c r="I9" i="2"/>
  <c r="J9" i="2" s="1"/>
  <c r="H9" i="2"/>
  <c r="J8" i="2"/>
  <c r="I8" i="2"/>
  <c r="H8" i="2"/>
  <c r="I7" i="2"/>
  <c r="J7" i="2" s="1"/>
  <c r="H7" i="2"/>
  <c r="I6" i="2"/>
  <c r="J6" i="2" s="1"/>
  <c r="H6" i="2"/>
  <c r="I5" i="2"/>
  <c r="J5" i="2" s="1"/>
  <c r="H5" i="2"/>
  <c r="J4" i="2"/>
  <c r="I4" i="2"/>
  <c r="H4" i="2"/>
  <c r="I3" i="2"/>
  <c r="J3" i="2" s="1"/>
  <c r="H3" i="2"/>
  <c r="I2" i="2"/>
  <c r="J2" i="2" s="1"/>
  <c r="H2" i="2"/>
</calcChain>
</file>

<file path=xl/sharedStrings.xml><?xml version="1.0" encoding="utf-8"?>
<sst xmlns="http://schemas.openxmlformats.org/spreadsheetml/2006/main" count="828" uniqueCount="88">
  <si>
    <t>Date</t>
  </si>
  <si>
    <t>Branch</t>
  </si>
  <si>
    <t>Product</t>
  </si>
  <si>
    <t>Quantity</t>
  </si>
  <si>
    <t>Price</t>
  </si>
  <si>
    <t>Revenue</t>
  </si>
  <si>
    <t>Status</t>
  </si>
  <si>
    <t>05/02/2024</t>
  </si>
  <si>
    <t>Kano</t>
  </si>
  <si>
    <t>Box</t>
  </si>
  <si>
    <t>Cancelled</t>
  </si>
  <si>
    <t>08/02/2024</t>
  </si>
  <si>
    <t>Abuja</t>
  </si>
  <si>
    <t>Shoes</t>
  </si>
  <si>
    <t>Pending</t>
  </si>
  <si>
    <t>26/01/2024</t>
  </si>
  <si>
    <t>Shipped</t>
  </si>
  <si>
    <t>15/01/2024</t>
  </si>
  <si>
    <t>17/01/2024</t>
  </si>
  <si>
    <t>01/01/2024</t>
  </si>
  <si>
    <t>01/03/2024</t>
  </si>
  <si>
    <t>Lagos</t>
  </si>
  <si>
    <t>Watch</t>
  </si>
  <si>
    <t>04/01/2024</t>
  </si>
  <si>
    <t>21/01/2024</t>
  </si>
  <si>
    <t>Bag</t>
  </si>
  <si>
    <t>15/02/2024</t>
  </si>
  <si>
    <t>22/02/2024</t>
  </si>
  <si>
    <t>18/02/2024</t>
  </si>
  <si>
    <t>07/02/2024</t>
  </si>
  <si>
    <t>28/02/2024</t>
  </si>
  <si>
    <t>20/02/2024</t>
  </si>
  <si>
    <t>26/02/2024</t>
  </si>
  <si>
    <t>27/02/2024</t>
  </si>
  <si>
    <t>09/01/2024</t>
  </si>
  <si>
    <t>19/01/2024</t>
  </si>
  <si>
    <t>10/01/2024</t>
  </si>
  <si>
    <t>18/01/2024</t>
  </si>
  <si>
    <t>10/02/2024</t>
  </si>
  <si>
    <t>06/02/2024</t>
  </si>
  <si>
    <t>31/01/2024</t>
  </si>
  <si>
    <t>21/02/2024</t>
  </si>
  <si>
    <t>02/02/2024</t>
  </si>
  <si>
    <t>11/01/2024</t>
  </si>
  <si>
    <t>07/01/2024</t>
  </si>
  <si>
    <t>19/02/2024</t>
  </si>
  <si>
    <t>22/01/2024</t>
  </si>
  <si>
    <t>05/01/2024</t>
  </si>
  <si>
    <t>14/01/2024</t>
  </si>
  <si>
    <t>30/01/2024</t>
  </si>
  <si>
    <t>04/02/2024</t>
  </si>
  <si>
    <t>23/01/2024</t>
  </si>
  <si>
    <t>01/02/2024</t>
  </si>
  <si>
    <t>25/01/2024</t>
  </si>
  <si>
    <t>03/01/2024</t>
  </si>
  <si>
    <t>13/01/2024</t>
  </si>
  <si>
    <t>14/02/2024</t>
  </si>
  <si>
    <t>16/01/2024</t>
  </si>
  <si>
    <t>25/02/2024</t>
  </si>
  <si>
    <t>24/02/2024</t>
  </si>
  <si>
    <t>02/01/2024</t>
  </si>
  <si>
    <t>Sum of Revenue</t>
  </si>
  <si>
    <t>Total Revenue</t>
  </si>
  <si>
    <t>Sum of Quantity</t>
  </si>
  <si>
    <t>Total Quantity</t>
  </si>
  <si>
    <t>Row Labels</t>
  </si>
  <si>
    <t>Grand Total</t>
  </si>
  <si>
    <t>Revenue by Branch</t>
  </si>
  <si>
    <t>Best Selling Product</t>
  </si>
  <si>
    <t>Count of Status</t>
  </si>
  <si>
    <t>Order by Status</t>
  </si>
  <si>
    <t>Total orders</t>
  </si>
  <si>
    <t>total orders</t>
  </si>
  <si>
    <t>Month</t>
  </si>
  <si>
    <t>Date2</t>
  </si>
  <si>
    <t>Months</t>
  </si>
  <si>
    <t>Jan</t>
  </si>
  <si>
    <t>Feb</t>
  </si>
  <si>
    <t>Mar</t>
  </si>
  <si>
    <t>Apr</t>
  </si>
  <si>
    <t>May</t>
  </si>
  <si>
    <t>Jul</t>
  </si>
  <si>
    <t>Aug</t>
  </si>
  <si>
    <t>Sep</t>
  </si>
  <si>
    <t>Oct</t>
  </si>
  <si>
    <t>Nov</t>
  </si>
  <si>
    <t>Dec</t>
  </si>
  <si>
    <t>Monthly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</si>
</sst>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Red]&quot;$&quot;#,##0"/>
    <numFmt numFmtId="165" formatCode="0;[Red]0"/>
    <numFmt numFmtId="166" formatCode="[$₦-46A]#,##0;[Red][$₦-46A]#,##0"/>
    <numFmt numFmtId="167" formatCode="[$-F800]dddd\,\ mmmm\ dd\,\ yyyy"/>
  </numFmts>
  <fonts count="5" x14ac:knownFonts="1">
    <font>
      <sz val="11"/>
      <color theme="1"/>
      <name val="Calibri"/>
      <family val="2"/>
      <scheme val="minor"/>
    </font>
    <font>
      <sz val="11"/>
      <color theme="0"/>
      <name val="Calibri"/>
      <family val="2"/>
      <scheme val="minor"/>
    </font>
    <font>
      <b/>
      <sz val="14"/>
      <color theme="1"/>
      <name val="Verdana"/>
      <family val="2"/>
    </font>
    <font>
      <b/>
      <sz val="18"/>
      <color theme="1"/>
      <name val="Cambria"/>
      <family val="1"/>
      <scheme val="major"/>
    </font>
    <font>
      <b/>
      <sz val="20"/>
      <name val="Cambria"/>
      <family val="1"/>
      <scheme val="maj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20">
    <xf numFmtId="0" fontId="0" fillId="0" borderId="0" xfId="0"/>
    <xf numFmtId="1" fontId="0" fillId="0" borderId="0" xfId="0" applyNumberFormat="1"/>
    <xf numFmtId="164" fontId="0" fillId="0" borderId="0" xfId="0" applyNumberFormat="1"/>
    <xf numFmtId="164" fontId="1" fillId="0" borderId="0" xfId="0" applyNumberFormat="1" applyFont="1"/>
    <xf numFmtId="0" fontId="0" fillId="0" borderId="0" xfId="0" applyNumberFormat="1"/>
    <xf numFmtId="0" fontId="0" fillId="0" borderId="0" xfId="0" pivotButton="1"/>
    <xf numFmtId="0" fontId="0" fillId="0" borderId="0" xfId="0" applyAlignment="1">
      <alignment horizontal="left"/>
    </xf>
    <xf numFmtId="0" fontId="1" fillId="2" borderId="0" xfId="0" applyFont="1" applyFill="1"/>
    <xf numFmtId="164" fontId="2" fillId="0" borderId="0" xfId="0" applyNumberFormat="1" applyFont="1"/>
    <xf numFmtId="164" fontId="3" fillId="0" borderId="0" xfId="0" applyNumberFormat="1" applyFont="1"/>
    <xf numFmtId="0" fontId="3" fillId="0" borderId="0" xfId="0" applyFont="1"/>
    <xf numFmtId="165" fontId="0" fillId="0" borderId="0" xfId="0" applyNumberFormat="1"/>
    <xf numFmtId="0" fontId="4" fillId="0" borderId="0" xfId="0" applyFont="1"/>
    <xf numFmtId="165" fontId="4" fillId="0" borderId="0" xfId="0" applyNumberFormat="1" applyFont="1"/>
    <xf numFmtId="166" fontId="4" fillId="0" borderId="0" xfId="0" applyNumberFormat="1" applyFont="1"/>
    <xf numFmtId="166" fontId="1" fillId="2" borderId="0" xfId="0" applyNumberFormat="1" applyFont="1" applyFill="1"/>
    <xf numFmtId="166" fontId="0" fillId="0" borderId="0" xfId="0" applyNumberFormat="1"/>
    <xf numFmtId="167" fontId="0" fillId="0" borderId="0" xfId="0" applyNumberFormat="1"/>
    <xf numFmtId="14" fontId="0" fillId="0" borderId="0" xfId="0" applyNumberFormat="1"/>
    <xf numFmtId="15" fontId="0" fillId="0" borderId="0" xfId="0" applyNumberFormat="1"/>
  </cellXfs>
  <cellStyles count="1">
    <cellStyle name="Normal" xfId="0" builtinId="0"/>
  </cellStyles>
  <dxfs count="32">
    <dxf>
      <numFmt numFmtId="165" formatCode="0;[Red]0"/>
    </dxf>
    <dxf>
      <numFmt numFmtId="165" formatCode="0;[Red]0"/>
    </dxf>
    <dxf>
      <numFmt numFmtId="165" formatCode="0;[Red]0"/>
    </dxf>
    <dxf>
      <numFmt numFmtId="165" formatCode="0;[Red]0"/>
    </dxf>
    <dxf>
      <numFmt numFmtId="2" formatCode="0.00"/>
    </dxf>
    <dxf>
      <numFmt numFmtId="2" formatCode="0.00"/>
    </dxf>
    <dxf>
      <numFmt numFmtId="2" formatCode="0.00"/>
    </dxf>
    <dxf>
      <numFmt numFmtId="2" formatCode="0.00"/>
    </dxf>
    <dxf>
      <numFmt numFmtId="164" formatCode="&quot;$&quot;#,##0;[Red]&quot;$&quot;#,##0"/>
    </dxf>
    <dxf>
      <numFmt numFmtId="168" formatCode="&quot;$&quot;#,##0.00"/>
    </dxf>
    <dxf>
      <numFmt numFmtId="166" formatCode="[$₦-46A]#,##0;[Red][$₦-46A]#,##0"/>
    </dxf>
    <dxf>
      <numFmt numFmtId="166" formatCode="[$₦-46A]#,##0;[Red][$₦-46A]#,##0"/>
    </dxf>
    <dxf>
      <numFmt numFmtId="166" formatCode="[$₦-46A]#,##0;[Red][$₦-46A]#,##0"/>
    </dxf>
    <dxf>
      <numFmt numFmtId="164" formatCode="&quot;$&quot;#,##0;[Red]&quot;$&quot;#,##0"/>
    </dxf>
    <dxf>
      <numFmt numFmtId="164" formatCode="&quot;$&quot;#,##0;[Red]&quot;$&quot;#,##0"/>
    </dxf>
    <dxf>
      <numFmt numFmtId="164" formatCode="&quot;$&quot;#,##0;[Red]&quot;$&quot;#,##0"/>
    </dxf>
    <dxf>
      <numFmt numFmtId="166" formatCode="[$₦-46A]#,##0;[Red][$₦-46A]#,##0"/>
    </dxf>
    <dxf>
      <numFmt numFmtId="166" formatCode="[$₦-46A]#,##0;[Red][$₦-46A]#,##0"/>
    </dxf>
    <dxf>
      <numFmt numFmtId="166" formatCode="[$₦-46A]#,##0;[Red][$₦-46A]#,##0"/>
    </dxf>
    <dxf>
      <numFmt numFmtId="164" formatCode="&quot;$&quot;#,##0;[Red]&quot;$&quot;#,##0"/>
    </dxf>
    <dxf>
      <numFmt numFmtId="164" formatCode="&quot;$&quot;#,##0;[Red]&quot;$&quot;#,##0"/>
    </dxf>
    <dxf>
      <numFmt numFmtId="164" formatCode="&quot;$&quot;#,##0;[Red]&quot;$&quot;#,##0"/>
    </dxf>
    <dxf>
      <numFmt numFmtId="166" formatCode="[$₦-46A]#,##0;[Red][$₦-46A]#,##0"/>
    </dxf>
    <dxf>
      <numFmt numFmtId="164" formatCode="&quot;$&quot;#,##0;[Red]&quot;$&quot;#,##0"/>
    </dxf>
    <dxf>
      <numFmt numFmtId="168" formatCode="&quot;$&quot;#,##0.00"/>
    </dxf>
    <dxf>
      <numFmt numFmtId="0" formatCode="General"/>
    </dxf>
    <dxf>
      <numFmt numFmtId="20" formatCode="d\-mmm\-yy"/>
    </dxf>
    <dxf>
      <numFmt numFmtId="0" formatCode="General"/>
    </dxf>
    <dxf>
      <numFmt numFmtId="164" formatCode="&quot;$&quot;#,##0;[Red]&quot;$&quot;#,##0"/>
    </dxf>
    <dxf>
      <numFmt numFmtId="164" formatCode="&quot;$&quot;#,##0;[Red]&quot;$&quot;#,##0"/>
    </dxf>
    <dxf>
      <numFmt numFmtId="1" formatCode="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Report.xlsx]Pivot table!PivotTable3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solidFill>
              </a:rPr>
              <a:t>  Revenue by branch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table'!$C$4:$C$7</c:f>
              <c:strCache>
                <c:ptCount val="3"/>
                <c:pt idx="0">
                  <c:v>Kano</c:v>
                </c:pt>
                <c:pt idx="1">
                  <c:v>Lagos</c:v>
                </c:pt>
                <c:pt idx="2">
                  <c:v>Abuja</c:v>
                </c:pt>
              </c:strCache>
            </c:strRef>
          </c:cat>
          <c:val>
            <c:numRef>
              <c:f>'Pivot table'!$D$4:$D$7</c:f>
              <c:numCache>
                <c:formatCode>[$₦-46A]#,##0;[Red][$₦-46A]#,##0</c:formatCode>
                <c:ptCount val="3"/>
                <c:pt idx="0">
                  <c:v>463706</c:v>
                </c:pt>
                <c:pt idx="1">
                  <c:v>366509</c:v>
                </c:pt>
                <c:pt idx="2">
                  <c:v>326024</c:v>
                </c:pt>
              </c:numCache>
            </c:numRef>
          </c:val>
          <c:extLst>
            <c:ext xmlns:c16="http://schemas.microsoft.com/office/drawing/2014/chart" uri="{C3380CC4-5D6E-409C-BE32-E72D297353CC}">
              <c16:uniqueId val="{00000000-2C65-4980-8BCB-B1AA33322C5C}"/>
            </c:ext>
          </c:extLst>
        </c:ser>
        <c:dLbls>
          <c:dLblPos val="outEnd"/>
          <c:showLegendKey val="0"/>
          <c:showVal val="1"/>
          <c:showCatName val="0"/>
          <c:showSerName val="0"/>
          <c:showPercent val="0"/>
          <c:showBubbleSize val="0"/>
        </c:dLbls>
        <c:gapWidth val="100"/>
        <c:overlap val="-24"/>
        <c:axId val="49897040"/>
        <c:axId val="49895792"/>
      </c:barChart>
      <c:catAx>
        <c:axId val="498970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5792"/>
        <c:crosses val="autoZero"/>
        <c:auto val="1"/>
        <c:lblAlgn val="ctr"/>
        <c:lblOffset val="100"/>
        <c:noMultiLvlLbl val="0"/>
      </c:catAx>
      <c:valAx>
        <c:axId val="49895792"/>
        <c:scaling>
          <c:orientation val="minMax"/>
        </c:scaling>
        <c:delete val="0"/>
        <c:axPos val="l"/>
        <c:numFmt formatCode="[$₦-46A]#,##0;[Red][$₦-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7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Report.xlsx]Pivot table!PivotTable4</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selling products (Orders)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14044962271431"/>
          <c:y val="0.23050510088953813"/>
          <c:w val="0.83633168076212694"/>
          <c:h val="0.73721311475409834"/>
        </c:manualLayout>
      </c:layout>
      <c:barChart>
        <c:barDir val="bar"/>
        <c:grouping val="clustered"/>
        <c:varyColors val="0"/>
        <c:ser>
          <c:idx val="0"/>
          <c:order val="0"/>
          <c:tx>
            <c:strRef>
              <c:f>'Pivot table'!$G$3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table'!$F$4:$F$8</c:f>
              <c:strCache>
                <c:ptCount val="4"/>
                <c:pt idx="0">
                  <c:v>Bag</c:v>
                </c:pt>
                <c:pt idx="1">
                  <c:v>Box</c:v>
                </c:pt>
                <c:pt idx="2">
                  <c:v>Shoes</c:v>
                </c:pt>
                <c:pt idx="3">
                  <c:v>Watch</c:v>
                </c:pt>
              </c:strCache>
            </c:strRef>
          </c:cat>
          <c:val>
            <c:numRef>
              <c:f>'Pivot table'!$G$4:$G$8</c:f>
              <c:numCache>
                <c:formatCode>General</c:formatCode>
                <c:ptCount val="4"/>
                <c:pt idx="0">
                  <c:v>281</c:v>
                </c:pt>
                <c:pt idx="1">
                  <c:v>212</c:v>
                </c:pt>
                <c:pt idx="2">
                  <c:v>293</c:v>
                </c:pt>
                <c:pt idx="3">
                  <c:v>289</c:v>
                </c:pt>
              </c:numCache>
            </c:numRef>
          </c:val>
          <c:extLst>
            <c:ext xmlns:c16="http://schemas.microsoft.com/office/drawing/2014/chart" uri="{C3380CC4-5D6E-409C-BE32-E72D297353CC}">
              <c16:uniqueId val="{00000000-6611-4250-9CDD-DD2B1B0A6AAB}"/>
            </c:ext>
          </c:extLst>
        </c:ser>
        <c:dLbls>
          <c:dLblPos val="outEnd"/>
          <c:showLegendKey val="0"/>
          <c:showVal val="1"/>
          <c:showCatName val="0"/>
          <c:showSerName val="0"/>
          <c:showPercent val="0"/>
          <c:showBubbleSize val="0"/>
        </c:dLbls>
        <c:gapWidth val="100"/>
        <c:axId val="49886640"/>
        <c:axId val="49903696"/>
      </c:barChart>
      <c:catAx>
        <c:axId val="498866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903696"/>
        <c:crosses val="autoZero"/>
        <c:auto val="1"/>
        <c:lblAlgn val="ctr"/>
        <c:lblOffset val="100"/>
        <c:noMultiLvlLbl val="0"/>
      </c:catAx>
      <c:valAx>
        <c:axId val="49903696"/>
        <c:scaling>
          <c:orientation val="minMax"/>
        </c:scaling>
        <c:delete val="1"/>
        <c:axPos val="b"/>
        <c:numFmt formatCode="General" sourceLinked="1"/>
        <c:majorTickMark val="none"/>
        <c:minorTickMark val="none"/>
        <c:tickLblPos val="nextTo"/>
        <c:crossAx val="49886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Report.xlsx]Pivot table!PivotTable5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Order</a:t>
            </a:r>
            <a:r>
              <a:rPr lang="en-US" b="1" baseline="0">
                <a:solidFill>
                  <a:schemeClr val="tx2"/>
                </a:solidFill>
              </a:rPr>
              <a:t> by Status</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table'!$I$4:$I$7</c:f>
              <c:strCache>
                <c:ptCount val="3"/>
                <c:pt idx="0">
                  <c:v>Cancelled</c:v>
                </c:pt>
                <c:pt idx="1">
                  <c:v>Pending</c:v>
                </c:pt>
                <c:pt idx="2">
                  <c:v>Shipped</c:v>
                </c:pt>
              </c:strCache>
            </c:strRef>
          </c:cat>
          <c:val>
            <c:numRef>
              <c:f>'Pivot table'!$J$4:$J$7</c:f>
              <c:numCache>
                <c:formatCode>General</c:formatCode>
                <c:ptCount val="3"/>
                <c:pt idx="0">
                  <c:v>36</c:v>
                </c:pt>
                <c:pt idx="1">
                  <c:v>35</c:v>
                </c:pt>
                <c:pt idx="2">
                  <c:v>29</c:v>
                </c:pt>
              </c:numCache>
            </c:numRef>
          </c:val>
          <c:extLst>
            <c:ext xmlns:c16="http://schemas.microsoft.com/office/drawing/2014/chart" uri="{C3380CC4-5D6E-409C-BE32-E72D297353CC}">
              <c16:uniqueId val="{00000000-E3AF-48E1-A5A8-16FFB8C4EE26}"/>
            </c:ext>
          </c:extLst>
        </c:ser>
        <c:dLbls>
          <c:dLblPos val="outEnd"/>
          <c:showLegendKey val="0"/>
          <c:showVal val="1"/>
          <c:showCatName val="0"/>
          <c:showSerName val="0"/>
          <c:showPercent val="0"/>
          <c:showBubbleSize val="0"/>
        </c:dLbls>
        <c:gapWidth val="182"/>
        <c:axId val="49900368"/>
        <c:axId val="49891216"/>
      </c:barChart>
      <c:catAx>
        <c:axId val="499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1216"/>
        <c:crosses val="autoZero"/>
        <c:auto val="1"/>
        <c:lblAlgn val="ctr"/>
        <c:lblOffset val="100"/>
        <c:noMultiLvlLbl val="0"/>
      </c:catAx>
      <c:valAx>
        <c:axId val="49891216"/>
        <c:scaling>
          <c:orientation val="minMax"/>
        </c:scaling>
        <c:delete val="1"/>
        <c:axPos val="l"/>
        <c:numFmt formatCode="General" sourceLinked="1"/>
        <c:majorTickMark val="none"/>
        <c:minorTickMark val="none"/>
        <c:tickLblPos val="nextTo"/>
        <c:crossAx val="49900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 Report.xlsx]Pivot table!PivotTable7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Monthly</a:t>
            </a:r>
            <a:r>
              <a:rPr lang="en-US" b="1" baseline="0">
                <a:solidFill>
                  <a:schemeClr val="tx2"/>
                </a:solidFill>
              </a:rPr>
              <a:t> Revenue</a:t>
            </a:r>
            <a:endParaRPr lang="en-US" b="1">
              <a:solidFill>
                <a:schemeClr val="tx2"/>
              </a:solidFill>
            </a:endParaRPr>
          </a:p>
        </c:rich>
      </c:tx>
      <c:layout>
        <c:manualLayout>
          <c:xMode val="edge"/>
          <c:yMode val="edge"/>
          <c:x val="0.37809851088201601"/>
          <c:y val="8.0132840537789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243219597550304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243219597550304E-2"/>
              <c:y val="-3.0057961504811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671232741714591E-2"/>
              <c:y val="-0.12864977265165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3381452318461"/>
          <c:y val="0.23550707203266255"/>
          <c:w val="0.82982174103237094"/>
          <c:h val="0.53774387576552929"/>
        </c:manualLayout>
      </c:layout>
      <c:lineChart>
        <c:grouping val="standard"/>
        <c:varyColors val="0"/>
        <c:ser>
          <c:idx val="0"/>
          <c:order val="0"/>
          <c:tx>
            <c:strRef>
              <c:f>'Pivot table'!$J$13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2D04-4AD6-8FE2-28B251E6FA14}"/>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2D04-4AD6-8FE2-28B251E6FA14}"/>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2D04-4AD6-8FE2-28B251E6FA14}"/>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2D04-4AD6-8FE2-28B251E6FA14}"/>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2D04-4AD6-8FE2-28B251E6FA14}"/>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2D04-4AD6-8FE2-28B251E6FA14}"/>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2D04-4AD6-8FE2-28B251E6FA14}"/>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2D04-4AD6-8FE2-28B251E6FA14}"/>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2D04-4AD6-8FE2-28B251E6FA14}"/>
              </c:ext>
            </c:extLst>
          </c:dPt>
          <c:dLbls>
            <c:dLbl>
              <c:idx val="1"/>
              <c:delete val="1"/>
              <c:extLst>
                <c:ext xmlns:c15="http://schemas.microsoft.com/office/drawing/2012/chart" uri="{CE6537A1-D6FC-4f65-9D91-7224C49458BB}"/>
                <c:ext xmlns:c16="http://schemas.microsoft.com/office/drawing/2014/chart" uri="{C3380CC4-5D6E-409C-BE32-E72D297353CC}">
                  <c16:uniqueId val="{00000001-2D04-4AD6-8FE2-28B251E6FA14}"/>
                </c:ext>
              </c:extLst>
            </c:dLbl>
            <c:dLbl>
              <c:idx val="2"/>
              <c:layout>
                <c:manualLayout>
                  <c:x val="-3.6671232741714591E-2"/>
                  <c:y val="-0.128649772651658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04-4AD6-8FE2-28B251E6FA14}"/>
                </c:ext>
              </c:extLst>
            </c:dLbl>
            <c:dLbl>
              <c:idx val="3"/>
              <c:delete val="1"/>
              <c:extLst>
                <c:ext xmlns:c15="http://schemas.microsoft.com/office/drawing/2012/chart" uri="{CE6537A1-D6FC-4f65-9D91-7224C49458BB}"/>
                <c:ext xmlns:c16="http://schemas.microsoft.com/office/drawing/2014/chart" uri="{C3380CC4-5D6E-409C-BE32-E72D297353CC}">
                  <c16:uniqueId val="{00000003-2D04-4AD6-8FE2-28B251E6FA14}"/>
                </c:ext>
              </c:extLst>
            </c:dLbl>
            <c:dLbl>
              <c:idx val="4"/>
              <c:delete val="1"/>
              <c:extLst>
                <c:ext xmlns:c15="http://schemas.microsoft.com/office/drawing/2012/chart" uri="{CE6537A1-D6FC-4f65-9D91-7224C49458BB}"/>
                <c:ext xmlns:c16="http://schemas.microsoft.com/office/drawing/2014/chart" uri="{C3380CC4-5D6E-409C-BE32-E72D297353CC}">
                  <c16:uniqueId val="{00000005-2D04-4AD6-8FE2-28B251E6FA14}"/>
                </c:ext>
              </c:extLst>
            </c:dLbl>
            <c:dLbl>
              <c:idx val="5"/>
              <c:delete val="1"/>
              <c:extLst>
                <c:ext xmlns:c15="http://schemas.microsoft.com/office/drawing/2012/chart" uri="{CE6537A1-D6FC-4f65-9D91-7224C49458BB}"/>
                <c:ext xmlns:c16="http://schemas.microsoft.com/office/drawing/2014/chart" uri="{C3380CC4-5D6E-409C-BE32-E72D297353CC}">
                  <c16:uniqueId val="{00000006-2D04-4AD6-8FE2-28B251E6FA14}"/>
                </c:ext>
              </c:extLst>
            </c:dLbl>
            <c:dLbl>
              <c:idx val="6"/>
              <c:delete val="1"/>
              <c:extLst>
                <c:ext xmlns:c15="http://schemas.microsoft.com/office/drawing/2012/chart" uri="{CE6537A1-D6FC-4f65-9D91-7224C49458BB}"/>
                <c:ext xmlns:c16="http://schemas.microsoft.com/office/drawing/2014/chart" uri="{C3380CC4-5D6E-409C-BE32-E72D297353CC}">
                  <c16:uniqueId val="{00000007-2D04-4AD6-8FE2-28B251E6FA14}"/>
                </c:ext>
              </c:extLst>
            </c:dLbl>
            <c:dLbl>
              <c:idx val="7"/>
              <c:delete val="1"/>
              <c:extLst>
                <c:ext xmlns:c15="http://schemas.microsoft.com/office/drawing/2012/chart" uri="{CE6537A1-D6FC-4f65-9D91-7224C49458BB}"/>
                <c:ext xmlns:c16="http://schemas.microsoft.com/office/drawing/2014/chart" uri="{C3380CC4-5D6E-409C-BE32-E72D297353CC}">
                  <c16:uniqueId val="{00000008-2D04-4AD6-8FE2-28B251E6FA14}"/>
                </c:ext>
              </c:extLst>
            </c:dLbl>
            <c:dLbl>
              <c:idx val="8"/>
              <c:delete val="1"/>
              <c:extLst>
                <c:ext xmlns:c15="http://schemas.microsoft.com/office/drawing/2012/chart" uri="{CE6537A1-D6FC-4f65-9D91-7224C49458BB}"/>
                <c:ext xmlns:c16="http://schemas.microsoft.com/office/drawing/2014/chart" uri="{C3380CC4-5D6E-409C-BE32-E72D297353CC}">
                  <c16:uniqueId val="{00000009-2D04-4AD6-8FE2-28B251E6FA14}"/>
                </c:ext>
              </c:extLst>
            </c:dLbl>
            <c:dLbl>
              <c:idx val="9"/>
              <c:delete val="1"/>
              <c:extLst>
                <c:ext xmlns:c15="http://schemas.microsoft.com/office/drawing/2012/chart" uri="{CE6537A1-D6FC-4f65-9D91-7224C49458BB}"/>
                <c:ext xmlns:c16="http://schemas.microsoft.com/office/drawing/2014/chart" uri="{C3380CC4-5D6E-409C-BE32-E72D297353CC}">
                  <c16:uniqueId val="{0000000A-2D04-4AD6-8FE2-28B251E6FA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table'!$I$14:$I$25</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'Pivot table'!$J$14:$J$25</c:f>
              <c:numCache>
                <c:formatCode>[$₦-46A]#,##0;[Red][$₦-46A]#,##0</c:formatCode>
                <c:ptCount val="11"/>
                <c:pt idx="0">
                  <c:v>407006</c:v>
                </c:pt>
                <c:pt idx="1">
                  <c:v>368260</c:v>
                </c:pt>
                <c:pt idx="2">
                  <c:v>77053</c:v>
                </c:pt>
                <c:pt idx="3">
                  <c:v>89239</c:v>
                </c:pt>
                <c:pt idx="4">
                  <c:v>18246</c:v>
                </c:pt>
                <c:pt idx="5">
                  <c:v>47972</c:v>
                </c:pt>
                <c:pt idx="6">
                  <c:v>31678</c:v>
                </c:pt>
                <c:pt idx="7">
                  <c:v>23158</c:v>
                </c:pt>
                <c:pt idx="8">
                  <c:v>37245</c:v>
                </c:pt>
                <c:pt idx="9">
                  <c:v>24479</c:v>
                </c:pt>
                <c:pt idx="10">
                  <c:v>31903</c:v>
                </c:pt>
              </c:numCache>
            </c:numRef>
          </c:val>
          <c:smooth val="0"/>
          <c:extLst>
            <c:ext xmlns:c16="http://schemas.microsoft.com/office/drawing/2014/chart" uri="{C3380CC4-5D6E-409C-BE32-E72D297353CC}">
              <c16:uniqueId val="{0000000B-2D04-4AD6-8FE2-28B251E6FA14}"/>
            </c:ext>
          </c:extLst>
        </c:ser>
        <c:dLbls>
          <c:dLblPos val="t"/>
          <c:showLegendKey val="0"/>
          <c:showVal val="1"/>
          <c:showCatName val="0"/>
          <c:showSerName val="0"/>
          <c:showPercent val="0"/>
          <c:showBubbleSize val="0"/>
        </c:dLbls>
        <c:marker val="1"/>
        <c:smooth val="0"/>
        <c:axId val="49883728"/>
        <c:axId val="49897456"/>
      </c:lineChart>
      <c:catAx>
        <c:axId val="4988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7456"/>
        <c:crosses val="autoZero"/>
        <c:auto val="1"/>
        <c:lblAlgn val="ctr"/>
        <c:lblOffset val="100"/>
        <c:noMultiLvlLbl val="0"/>
      </c:catAx>
      <c:valAx>
        <c:axId val="49897456"/>
        <c:scaling>
          <c:orientation val="minMax"/>
        </c:scaling>
        <c:delete val="0"/>
        <c:axPos val="l"/>
        <c:numFmt formatCode="[$₦-46A]#,##0;[Red][$₦-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3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419100</xdr:colOff>
      <xdr:row>36</xdr:row>
      <xdr:rowOff>95250</xdr:rowOff>
    </xdr:to>
    <xdr:sp macro="" textlink="">
      <xdr:nvSpPr>
        <xdr:cNvPr id="2" name="Rectangle 1">
          <a:extLst>
            <a:ext uri="{FF2B5EF4-FFF2-40B4-BE49-F238E27FC236}">
              <a16:creationId xmlns:a16="http://schemas.microsoft.com/office/drawing/2014/main" id="{00000000-0008-0000-0300-000002000000}"/>
            </a:ext>
          </a:extLst>
        </xdr:cNvPr>
        <xdr:cNvSpPr>
          <a:spLocks noChangeAspect="1"/>
        </xdr:cNvSpPr>
      </xdr:nvSpPr>
      <xdr:spPr>
        <a:xfrm>
          <a:off x="0" y="0"/>
          <a:ext cx="12001500" cy="67246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xdr:col>
      <xdr:colOff>552449</xdr:colOff>
      <xdr:row>0</xdr:row>
      <xdr:rowOff>47625</xdr:rowOff>
    </xdr:from>
    <xdr:to>
      <xdr:col>18</xdr:col>
      <xdr:colOff>558800</xdr:colOff>
      <xdr:row>3</xdr:row>
      <xdr:rowOff>114300</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1771649" y="47625"/>
          <a:ext cx="9759951" cy="619125"/>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SALES</a:t>
          </a:r>
          <a:r>
            <a:rPr lang="en-US" sz="2400" b="1" baseline="0"/>
            <a:t> PERFORMANCE DASHBOARD</a:t>
          </a:r>
        </a:p>
        <a:p>
          <a:pPr algn="ctr"/>
          <a:r>
            <a:rPr lang="en-US" sz="1050" b="0" baseline="0"/>
            <a:t>Excel Interactive Dashboard/2014 sales</a:t>
          </a:r>
        </a:p>
        <a:p>
          <a:pPr algn="ctr"/>
          <a:endParaRPr lang="en-US" sz="1000" b="0" baseline="0"/>
        </a:p>
        <a:p>
          <a:pPr algn="l"/>
          <a:endParaRPr lang="en-US" sz="3200" b="1"/>
        </a:p>
      </xdr:txBody>
    </xdr:sp>
    <xdr:clientData/>
  </xdr:twoCellAnchor>
  <xdr:twoCellAnchor>
    <xdr:from>
      <xdr:col>17</xdr:col>
      <xdr:colOff>481710</xdr:colOff>
      <xdr:row>4</xdr:row>
      <xdr:rowOff>20298</xdr:rowOff>
    </xdr:from>
    <xdr:to>
      <xdr:col>19</xdr:col>
      <xdr:colOff>600076</xdr:colOff>
      <xdr:row>5</xdr:row>
      <xdr:rowOff>146731</xdr:rowOff>
    </xdr:to>
    <xdr:sp macro="" textlink="">
      <xdr:nvSpPr>
        <xdr:cNvPr id="12" name="Rectangle 11">
          <a:extLst>
            <a:ext uri="{FF2B5EF4-FFF2-40B4-BE49-F238E27FC236}">
              <a16:creationId xmlns:a16="http://schemas.microsoft.com/office/drawing/2014/main" id="{00000000-0008-0000-0300-00000C000000}"/>
            </a:ext>
          </a:extLst>
        </xdr:cNvPr>
        <xdr:cNvSpPr/>
      </xdr:nvSpPr>
      <xdr:spPr>
        <a:xfrm>
          <a:off x="10844910" y="782298"/>
          <a:ext cx="1337566" cy="3169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bg2"/>
            </a:solidFill>
          </a:endParaRPr>
        </a:p>
        <a:p>
          <a:pPr algn="l"/>
          <a:endParaRPr lang="en-US" sz="1100">
            <a:solidFill>
              <a:schemeClr val="bg2"/>
            </a:solidFill>
          </a:endParaRPr>
        </a:p>
      </xdr:txBody>
    </xdr:sp>
    <xdr:clientData/>
  </xdr:twoCellAnchor>
  <xdr:twoCellAnchor editAs="oneCell">
    <xdr:from>
      <xdr:col>0</xdr:col>
      <xdr:colOff>82550</xdr:colOff>
      <xdr:row>9</xdr:row>
      <xdr:rowOff>67004</xdr:rowOff>
    </xdr:from>
    <xdr:to>
      <xdr:col>2</xdr:col>
      <xdr:colOff>412750</xdr:colOff>
      <xdr:row>18</xdr:row>
      <xdr:rowOff>100541</xdr:rowOff>
    </xdr:to>
    <mc:AlternateContent xmlns:mc="http://schemas.openxmlformats.org/markup-compatibility/2006">
      <mc:Choice xmlns:a14="http://schemas.microsoft.com/office/drawing/2010/main" Requires="a14">
        <xdr:graphicFrame macro="">
          <xdr:nvGraphicFramePr>
            <xdr:cNvPr id="13" name="Product 1">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2550" y="1724354"/>
              <a:ext cx="1549400" cy="1690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19</xdr:row>
      <xdr:rowOff>58514</xdr:rowOff>
    </xdr:from>
    <xdr:to>
      <xdr:col>2</xdr:col>
      <xdr:colOff>419100</xdr:colOff>
      <xdr:row>26</xdr:row>
      <xdr:rowOff>86784</xdr:rowOff>
    </xdr:to>
    <mc:AlternateContent xmlns:mc="http://schemas.openxmlformats.org/markup-compatibility/2006">
      <mc:Choice xmlns:a14="http://schemas.microsoft.com/office/drawing/2010/main" Requires="a14">
        <xdr:graphicFrame macro="">
          <xdr:nvGraphicFramePr>
            <xdr:cNvPr id="14" name="Status 1">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76200" y="3557364"/>
              <a:ext cx="1562100" cy="1317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27</xdr:row>
      <xdr:rowOff>70257</xdr:rowOff>
    </xdr:from>
    <xdr:to>
      <xdr:col>2</xdr:col>
      <xdr:colOff>406400</xdr:colOff>
      <xdr:row>34</xdr:row>
      <xdr:rowOff>95250</xdr:rowOff>
    </xdr:to>
    <mc:AlternateContent xmlns:mc="http://schemas.openxmlformats.org/markup-compatibility/2006">
      <mc:Choice xmlns:a14="http://schemas.microsoft.com/office/drawing/2010/main" Requires="a14">
        <xdr:graphicFrame macro="">
          <xdr:nvGraphicFramePr>
            <xdr:cNvPr id="16" name="Branch 1">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69850" y="5042307"/>
              <a:ext cx="1555750" cy="1314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571501</xdr:colOff>
      <xdr:row>9</xdr:row>
      <xdr:rowOff>9525</xdr:rowOff>
    </xdr:from>
    <xdr:to>
      <xdr:col>7</xdr:col>
      <xdr:colOff>304800</xdr:colOff>
      <xdr:row>21</xdr:row>
      <xdr:rowOff>131763</xdr:rowOff>
    </xdr:to>
    <xdr:graphicFrame macro="">
      <xdr:nvGraphicFramePr>
        <xdr:cNvPr id="17" name="Chart 16">
          <a:extLst>
            <a:ext uri="{FF2B5EF4-FFF2-40B4-BE49-F238E27FC236}">
              <a16:creationId xmlns:a16="http://schemas.microsoft.com/office/drawing/2014/main" id="{00000000-0008-0000-0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511969</xdr:colOff>
      <xdr:row>9</xdr:row>
      <xdr:rowOff>9525</xdr:rowOff>
    </xdr:from>
    <xdr:to>
      <xdr:col>14</xdr:col>
      <xdr:colOff>142081</xdr:colOff>
      <xdr:row>21</xdr:row>
      <xdr:rowOff>158750</xdr:rowOff>
    </xdr:to>
    <xdr:graphicFrame macro="">
      <xdr:nvGraphicFramePr>
        <xdr:cNvPr id="18" name="Chart 17">
          <a:extLst>
            <a:ext uri="{FF2B5EF4-FFF2-40B4-BE49-F238E27FC236}">
              <a16:creationId xmlns:a16="http://schemas.microsoft.com/office/drawing/2014/main" id="{00000000-0008-0000-03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349250</xdr:colOff>
      <xdr:row>9</xdr:row>
      <xdr:rowOff>9525</xdr:rowOff>
    </xdr:from>
    <xdr:to>
      <xdr:col>18</xdr:col>
      <xdr:colOff>514350</xdr:colOff>
      <xdr:row>21</xdr:row>
      <xdr:rowOff>149225</xdr:rowOff>
    </xdr:to>
    <xdr:graphicFrame macro="">
      <xdr:nvGraphicFramePr>
        <xdr:cNvPr id="19" name="Chart 18">
          <a:extLst>
            <a:ext uri="{FF2B5EF4-FFF2-40B4-BE49-F238E27FC236}">
              <a16:creationId xmlns:a16="http://schemas.microsoft.com/office/drawing/2014/main" id="{00000000-0008-0000-0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596900</xdr:colOff>
      <xdr:row>23</xdr:row>
      <xdr:rowOff>0</xdr:rowOff>
    </xdr:from>
    <xdr:to>
      <xdr:col>12</xdr:col>
      <xdr:colOff>552450</xdr:colOff>
      <xdr:row>34</xdr:row>
      <xdr:rowOff>107950</xdr:rowOff>
    </xdr:to>
    <xdr:graphicFrame macro="">
      <xdr:nvGraphicFramePr>
        <xdr:cNvPr id="20" name="Chart 19">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120650</xdr:colOff>
      <xdr:row>22</xdr:row>
      <xdr:rowOff>168275</xdr:rowOff>
    </xdr:from>
    <xdr:to>
      <xdr:col>18</xdr:col>
      <xdr:colOff>546100</xdr:colOff>
      <xdr:row>34</xdr:row>
      <xdr:rowOff>107950</xdr:rowOff>
    </xdr:to>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8045450" y="4219575"/>
          <a:ext cx="3473450" cy="21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mn-lt"/>
              <a:ea typeface="+mn-ea"/>
              <a:cs typeface="+mn-cs"/>
            </a:rPr>
            <a:t>Insights:</a:t>
          </a:r>
          <a:endParaRPr lang="en-US" sz="1200" b="1">
            <a:effectLst/>
          </a:endParaRPr>
        </a:p>
        <a:p>
          <a:pPr marL="171450" indent="-171450">
            <a:buFont typeface="Wingdings" panose="05000000000000000000" pitchFamily="2" charset="2"/>
            <a:buChar char="§"/>
          </a:pPr>
          <a:r>
            <a:rPr lang="en-US" sz="1200" b="1">
              <a:solidFill>
                <a:schemeClr val="dk1"/>
              </a:solidFill>
              <a:effectLst/>
              <a:latin typeface="+mn-lt"/>
              <a:ea typeface="+mn-ea"/>
              <a:cs typeface="+mn-cs"/>
            </a:rPr>
            <a:t>Kano branch</a:t>
          </a:r>
          <a:r>
            <a:rPr lang="en-US" sz="1200" b="1" baseline="0">
              <a:solidFill>
                <a:schemeClr val="dk1"/>
              </a:solidFill>
              <a:effectLst/>
              <a:latin typeface="+mn-lt"/>
              <a:ea typeface="+mn-ea"/>
              <a:cs typeface="+mn-cs"/>
            </a:rPr>
            <a:t> generate highest revenue among all loactions.</a:t>
          </a:r>
          <a:endParaRPr lang="en-US" sz="1200" b="1">
            <a:effectLst/>
          </a:endParaRPr>
        </a:p>
        <a:p>
          <a:pPr marL="171450" indent="-171450">
            <a:buFont typeface="Wingdings" panose="05000000000000000000" pitchFamily="2" charset="2"/>
            <a:buChar char="§"/>
          </a:pPr>
          <a:r>
            <a:rPr lang="en-US" sz="1200" b="1" baseline="0">
              <a:solidFill>
                <a:schemeClr val="dk1"/>
              </a:solidFill>
              <a:effectLst/>
              <a:latin typeface="+mn-lt"/>
              <a:ea typeface="+mn-ea"/>
              <a:cs typeface="+mn-cs"/>
            </a:rPr>
            <a:t>Shoes are the top-selling product category.</a:t>
          </a:r>
          <a:endParaRPr lang="en-US" sz="1200" b="1">
            <a:effectLst/>
          </a:endParaRPr>
        </a:p>
        <a:p>
          <a:pPr marL="171450" indent="-171450">
            <a:buFont typeface="Wingdings" panose="05000000000000000000" pitchFamily="2" charset="2"/>
            <a:buChar char="§"/>
          </a:pPr>
          <a:r>
            <a:rPr lang="en-US" sz="1200" b="1" baseline="0">
              <a:solidFill>
                <a:schemeClr val="dk1"/>
              </a:solidFill>
              <a:effectLst/>
              <a:latin typeface="+mn-lt"/>
              <a:ea typeface="+mn-ea"/>
              <a:cs typeface="+mn-cs"/>
            </a:rPr>
            <a:t>Cancelled Orders are significantly high (needss attention).</a:t>
          </a:r>
        </a:p>
        <a:p>
          <a:pPr marL="171450" indent="-171450">
            <a:buFont typeface="Wingdings" panose="05000000000000000000" pitchFamily="2" charset="2"/>
            <a:buChar char="§"/>
          </a:pPr>
          <a:r>
            <a:rPr lang="en-US" sz="1200" b="1" baseline="0">
              <a:solidFill>
                <a:schemeClr val="dk1"/>
              </a:solidFill>
              <a:effectLst/>
              <a:latin typeface="+mn-lt"/>
              <a:ea typeface="+mn-ea"/>
              <a:cs typeface="+mn-cs"/>
            </a:rPr>
            <a:t>Revenue peaks at January, and reduced drastially in december.</a:t>
          </a:r>
          <a:endParaRPr lang="en-US" sz="1200" b="1">
            <a:effectLst/>
          </a:endParaRPr>
        </a:p>
        <a:p>
          <a:r>
            <a:rPr lang="en-US" sz="1200" b="1" baseline="0">
              <a:solidFill>
                <a:schemeClr val="dk1"/>
              </a:solidFill>
              <a:effectLst/>
              <a:latin typeface="+mn-lt"/>
              <a:ea typeface="+mn-ea"/>
              <a:cs typeface="+mn-cs"/>
            </a:rPr>
            <a:t>           Created by: DANJUMA ZAINAB      </a:t>
          </a:r>
        </a:p>
        <a:p>
          <a:r>
            <a:rPr lang="en-US" sz="1200" b="1" baseline="0">
              <a:solidFill>
                <a:schemeClr val="dk1"/>
              </a:solidFill>
              <a:effectLst/>
              <a:latin typeface="+mn-lt"/>
              <a:ea typeface="+mn-ea"/>
              <a:cs typeface="+mn-cs"/>
            </a:rPr>
            <a:t>            Date:"Data from jan-Dec 2014</a:t>
          </a:r>
          <a:endParaRPr lang="en-US" sz="1200" b="1"/>
        </a:p>
      </xdr:txBody>
    </xdr:sp>
    <xdr:clientData/>
  </xdr:twoCellAnchor>
  <xdr:twoCellAnchor editAs="oneCell">
    <xdr:from>
      <xdr:col>0</xdr:col>
      <xdr:colOff>95250</xdr:colOff>
      <xdr:row>0</xdr:row>
      <xdr:rowOff>57150</xdr:rowOff>
    </xdr:from>
    <xdr:to>
      <xdr:col>2</xdr:col>
      <xdr:colOff>393699</xdr:colOff>
      <xdr:row>8</xdr:row>
      <xdr:rowOff>126999</xdr:rowOff>
    </xdr:to>
    <mc:AlternateContent xmlns:mc="http://schemas.openxmlformats.org/markup-compatibility/2006">
      <mc:Choice xmlns:tsle="http://schemas.microsoft.com/office/drawing/2012/timeslicer" Requires="tsle">
        <xdr:graphicFrame macro="">
          <xdr:nvGraphicFramePr>
            <xdr:cNvPr id="22" name="Date2">
              <a:extLst>
                <a:ext uri="{FF2B5EF4-FFF2-40B4-BE49-F238E27FC236}">
                  <a16:creationId xmlns:a16="http://schemas.microsoft.com/office/drawing/2014/main" id="{00000000-0008-0000-0300-000016000000}"/>
                </a:ext>
              </a:extLst>
            </xdr:cNvPr>
            <xdr:cNvGraphicFramePr/>
          </xdr:nvGraphicFramePr>
          <xdr:xfrm>
            <a:off x="0" y="0"/>
            <a:ext cx="0" cy="0"/>
          </xdr:xfrm>
          <a:graphic>
            <a:graphicData uri="http://schemas.microsoft.com/office/drawing/2012/timeslicer">
              <tsle:timeslicer xmlns:tsle="http://schemas.microsoft.com/office/drawing/2012/timeslicer" name="Date2"/>
            </a:graphicData>
          </a:graphic>
        </xdr:graphicFrame>
      </mc:Choice>
      <mc:Fallback>
        <xdr:sp macro="" textlink="">
          <xdr:nvSpPr>
            <xdr:cNvPr id="0" name=""/>
            <xdr:cNvSpPr>
              <a:spLocks noTextEdit="1"/>
            </xdr:cNvSpPr>
          </xdr:nvSpPr>
          <xdr:spPr>
            <a:xfrm>
              <a:off x="95250" y="57150"/>
              <a:ext cx="1517649" cy="15430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606425</xdr:colOff>
      <xdr:row>4</xdr:row>
      <xdr:rowOff>21689</xdr:rowOff>
    </xdr:from>
    <xdr:to>
      <xdr:col>5</xdr:col>
      <xdr:colOff>606425</xdr:colOff>
      <xdr:row>8</xdr:row>
      <xdr:rowOff>105310</xdr:rowOff>
    </xdr:to>
    <xdr:grpSp>
      <xdr:nvGrpSpPr>
        <xdr:cNvPr id="35" name="Group 34">
          <a:extLst>
            <a:ext uri="{FF2B5EF4-FFF2-40B4-BE49-F238E27FC236}">
              <a16:creationId xmlns:a16="http://schemas.microsoft.com/office/drawing/2014/main" id="{00000000-0008-0000-0300-000023000000}"/>
            </a:ext>
          </a:extLst>
        </xdr:cNvPr>
        <xdr:cNvGrpSpPr/>
      </xdr:nvGrpSpPr>
      <xdr:grpSpPr>
        <a:xfrm>
          <a:off x="1825625" y="758289"/>
          <a:ext cx="1828800" cy="820221"/>
          <a:chOff x="1781175" y="746505"/>
          <a:chExt cx="1828800" cy="659687"/>
        </a:xfrm>
      </xdr:grpSpPr>
      <xdr:sp macro="" textlink="">
        <xdr:nvSpPr>
          <xdr:cNvPr id="5" name="Rounded Rectangle 7">
            <a:extLst>
              <a:ext uri="{FF2B5EF4-FFF2-40B4-BE49-F238E27FC236}">
                <a16:creationId xmlns:a16="http://schemas.microsoft.com/office/drawing/2014/main" id="{00000000-0008-0000-0300-000005000000}"/>
              </a:ext>
            </a:extLst>
          </xdr:cNvPr>
          <xdr:cNvSpPr/>
        </xdr:nvSpPr>
        <xdr:spPr>
          <a:xfrm>
            <a:off x="1781175" y="746505"/>
            <a:ext cx="1828800" cy="640080"/>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sp macro="" textlink="">
        <xdr:nvSpPr>
          <xdr:cNvPr id="6" name="Rectangle 5">
            <a:extLst>
              <a:ext uri="{FF2B5EF4-FFF2-40B4-BE49-F238E27FC236}">
                <a16:creationId xmlns:a16="http://schemas.microsoft.com/office/drawing/2014/main" id="{00000000-0008-0000-0300-000006000000}"/>
              </a:ext>
            </a:extLst>
          </xdr:cNvPr>
          <xdr:cNvSpPr/>
        </xdr:nvSpPr>
        <xdr:spPr>
          <a:xfrm>
            <a:off x="2133046" y="772774"/>
            <a:ext cx="1350336" cy="31693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2"/>
                </a:solidFill>
              </a:rPr>
              <a:t>Total Revenue</a:t>
            </a:r>
          </a:p>
          <a:p>
            <a:pPr algn="ctr"/>
            <a:endParaRPr lang="en-US" sz="1100">
              <a:solidFill>
                <a:schemeClr val="bg2"/>
              </a:solidFill>
            </a:endParaRPr>
          </a:p>
        </xdr:txBody>
      </xdr:sp>
      <xdr:sp macro="" textlink="'Pivot table'!O2">
        <xdr:nvSpPr>
          <xdr:cNvPr id="27" name="Rectangle 26">
            <a:extLst>
              <a:ext uri="{FF2B5EF4-FFF2-40B4-BE49-F238E27FC236}">
                <a16:creationId xmlns:a16="http://schemas.microsoft.com/office/drawing/2014/main" id="{00000000-0008-0000-0300-00001B000000}"/>
              </a:ext>
            </a:extLst>
          </xdr:cNvPr>
          <xdr:cNvSpPr/>
        </xdr:nvSpPr>
        <xdr:spPr>
          <a:xfrm>
            <a:off x="1882702" y="957629"/>
            <a:ext cx="1616148" cy="44856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ctr"/>
            <a:fld id="{B7F63730-C587-49E9-A2A2-F1FBD8CC1C84}" type="TxLink">
              <a:rPr lang="en-US" sz="2000" b="1" i="0" u="none" strike="noStrike">
                <a:solidFill>
                  <a:schemeClr val="bg1"/>
                </a:solidFill>
                <a:latin typeface="Cambria"/>
                <a:ea typeface="Cambria"/>
              </a:rPr>
              <a:pPr algn="ctr"/>
              <a:t>₦1,156,239</a:t>
            </a:fld>
            <a:endParaRPr lang="en-US" sz="1100">
              <a:solidFill>
                <a:schemeClr val="bg1"/>
              </a:solidFill>
            </a:endParaRPr>
          </a:p>
        </xdr:txBody>
      </xdr:sp>
    </xdr:grpSp>
    <xdr:clientData/>
  </xdr:twoCellAnchor>
  <xdr:twoCellAnchor>
    <xdr:from>
      <xdr:col>9</xdr:col>
      <xdr:colOff>260350</xdr:colOff>
      <xdr:row>4</xdr:row>
      <xdr:rowOff>25400</xdr:rowOff>
    </xdr:from>
    <xdr:to>
      <xdr:col>12</xdr:col>
      <xdr:colOff>260350</xdr:colOff>
      <xdr:row>8</xdr:row>
      <xdr:rowOff>166336</xdr:rowOff>
    </xdr:to>
    <xdr:grpSp>
      <xdr:nvGrpSpPr>
        <xdr:cNvPr id="36" name="Group 35">
          <a:extLst>
            <a:ext uri="{FF2B5EF4-FFF2-40B4-BE49-F238E27FC236}">
              <a16:creationId xmlns:a16="http://schemas.microsoft.com/office/drawing/2014/main" id="{00000000-0008-0000-0300-000024000000}"/>
            </a:ext>
          </a:extLst>
        </xdr:cNvPr>
        <xdr:cNvGrpSpPr/>
      </xdr:nvGrpSpPr>
      <xdr:grpSpPr>
        <a:xfrm>
          <a:off x="5746750" y="762000"/>
          <a:ext cx="1828800" cy="877536"/>
          <a:chOff x="6121400" y="771402"/>
          <a:chExt cx="1828800" cy="677910"/>
        </a:xfrm>
      </xdr:grpSpPr>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6121400" y="771402"/>
            <a:ext cx="1828800" cy="640080"/>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sp macro="" textlink="">
        <xdr:nvSpPr>
          <xdr:cNvPr id="9" name="Rectangle 8">
            <a:extLst>
              <a:ext uri="{FF2B5EF4-FFF2-40B4-BE49-F238E27FC236}">
                <a16:creationId xmlns:a16="http://schemas.microsoft.com/office/drawing/2014/main" id="{00000000-0008-0000-0300-000009000000}"/>
              </a:ext>
            </a:extLst>
          </xdr:cNvPr>
          <xdr:cNvSpPr/>
        </xdr:nvSpPr>
        <xdr:spPr>
          <a:xfrm>
            <a:off x="6355177" y="809625"/>
            <a:ext cx="1396172" cy="25606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2"/>
                </a:solidFill>
              </a:rPr>
              <a:t>Total orders</a:t>
            </a:r>
          </a:p>
          <a:p>
            <a:pPr algn="ctr"/>
            <a:endParaRPr lang="en-US" sz="1100">
              <a:solidFill>
                <a:schemeClr val="bg2"/>
              </a:solidFill>
            </a:endParaRPr>
          </a:p>
        </xdr:txBody>
      </xdr:sp>
      <xdr:sp macro="" textlink="'Pivot table'!O4">
        <xdr:nvSpPr>
          <xdr:cNvPr id="28" name="Rectangle 27">
            <a:extLst>
              <a:ext uri="{FF2B5EF4-FFF2-40B4-BE49-F238E27FC236}">
                <a16:creationId xmlns:a16="http://schemas.microsoft.com/office/drawing/2014/main" id="{00000000-0008-0000-0300-00001C000000}"/>
              </a:ext>
            </a:extLst>
          </xdr:cNvPr>
          <xdr:cNvSpPr/>
        </xdr:nvSpPr>
        <xdr:spPr>
          <a:xfrm>
            <a:off x="6343651" y="1000749"/>
            <a:ext cx="1419224" cy="44856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ctr"/>
            <a:fld id="{17495105-9118-4DBA-B670-A898EEE8A6F7}" type="TxLink">
              <a:rPr lang="en-US" sz="2000" b="1" i="0" u="none" strike="noStrike">
                <a:solidFill>
                  <a:schemeClr val="bg1"/>
                </a:solidFill>
                <a:latin typeface="Cambria"/>
                <a:ea typeface="Cambria"/>
              </a:rPr>
              <a:pPr algn="ctr"/>
              <a:t>100</a:t>
            </a:fld>
            <a:endParaRPr lang="en-US" sz="1100">
              <a:solidFill>
                <a:schemeClr val="bg1"/>
              </a:solidFill>
            </a:endParaRPr>
          </a:p>
        </xdr:txBody>
      </xdr:sp>
    </xdr:grpSp>
    <xdr:clientData/>
  </xdr:twoCellAnchor>
  <xdr:twoCellAnchor>
    <xdr:from>
      <xdr:col>15</xdr:col>
      <xdr:colOff>523875</xdr:colOff>
      <xdr:row>4</xdr:row>
      <xdr:rowOff>63499</xdr:rowOff>
    </xdr:from>
    <xdr:to>
      <xdr:col>18</xdr:col>
      <xdr:colOff>523875</xdr:colOff>
      <xdr:row>8</xdr:row>
      <xdr:rowOff>101600</xdr:rowOff>
    </xdr:to>
    <xdr:grpSp>
      <xdr:nvGrpSpPr>
        <xdr:cNvPr id="37" name="Group 36">
          <a:extLst>
            <a:ext uri="{FF2B5EF4-FFF2-40B4-BE49-F238E27FC236}">
              <a16:creationId xmlns:a16="http://schemas.microsoft.com/office/drawing/2014/main" id="{00000000-0008-0000-0300-000025000000}"/>
            </a:ext>
          </a:extLst>
        </xdr:cNvPr>
        <xdr:cNvGrpSpPr/>
      </xdr:nvGrpSpPr>
      <xdr:grpSpPr>
        <a:xfrm>
          <a:off x="9667875" y="800099"/>
          <a:ext cx="1828800" cy="774701"/>
          <a:chOff x="10629901" y="762624"/>
          <a:chExt cx="1828800" cy="640080"/>
        </a:xfrm>
      </xdr:grpSpPr>
      <xdr:sp macro="" textlink="">
        <xdr:nvSpPr>
          <xdr:cNvPr id="11" name="Rounded Rectangle 7">
            <a:extLst>
              <a:ext uri="{FF2B5EF4-FFF2-40B4-BE49-F238E27FC236}">
                <a16:creationId xmlns:a16="http://schemas.microsoft.com/office/drawing/2014/main" id="{00000000-0008-0000-0300-00000B000000}"/>
              </a:ext>
            </a:extLst>
          </xdr:cNvPr>
          <xdr:cNvSpPr/>
        </xdr:nvSpPr>
        <xdr:spPr>
          <a:xfrm>
            <a:off x="10629901" y="762624"/>
            <a:ext cx="1828800" cy="640080"/>
          </a:xfrm>
          <a:prstGeom prst="round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US" sz="1100"/>
          </a:p>
        </xdr:txBody>
      </xdr:sp>
      <xdr:sp macro="" textlink="">
        <xdr:nvSpPr>
          <xdr:cNvPr id="21" name="Rectangle 20">
            <a:extLst>
              <a:ext uri="{FF2B5EF4-FFF2-40B4-BE49-F238E27FC236}">
                <a16:creationId xmlns:a16="http://schemas.microsoft.com/office/drawing/2014/main" id="{00000000-0008-0000-0300-000015000000}"/>
              </a:ext>
            </a:extLst>
          </xdr:cNvPr>
          <xdr:cNvSpPr/>
        </xdr:nvSpPr>
        <xdr:spPr>
          <a:xfrm>
            <a:off x="10820401" y="781050"/>
            <a:ext cx="1495424" cy="2952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quantity</a:t>
            </a:r>
            <a:r>
              <a:rPr lang="en-US" sz="1200" b="1" baseline="0"/>
              <a:t> sold</a:t>
            </a:r>
            <a:endParaRPr lang="en-US" sz="1200" b="1"/>
          </a:p>
        </xdr:txBody>
      </xdr:sp>
      <xdr:sp macro="" textlink="'Pivot table'!O3">
        <xdr:nvSpPr>
          <xdr:cNvPr id="29" name="Rectangle 28">
            <a:extLst>
              <a:ext uri="{FF2B5EF4-FFF2-40B4-BE49-F238E27FC236}">
                <a16:creationId xmlns:a16="http://schemas.microsoft.com/office/drawing/2014/main" id="{00000000-0008-0000-0300-00001D000000}"/>
              </a:ext>
            </a:extLst>
          </xdr:cNvPr>
          <xdr:cNvSpPr/>
        </xdr:nvSpPr>
        <xdr:spPr>
          <a:xfrm>
            <a:off x="11249026" y="1019175"/>
            <a:ext cx="857249" cy="3238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ctr"/>
            <a:fld id="{29E634AD-9536-4BF9-9A4D-815766F7A0B1}" type="TxLink">
              <a:rPr lang="en-US" sz="2000" b="1" i="0" u="none" strike="noStrike">
                <a:solidFill>
                  <a:schemeClr val="bg1"/>
                </a:solidFill>
                <a:latin typeface="Cambria"/>
                <a:ea typeface="Cambria"/>
              </a:rPr>
              <a:pPr algn="ctr"/>
              <a:t>1075</a:t>
            </a:fld>
            <a:endParaRPr lang="en-US" sz="1100">
              <a:solidFill>
                <a:schemeClr val="bg1"/>
              </a:solidFill>
            </a:endParaRPr>
          </a:p>
        </xdr:txBody>
      </xdr:sp>
    </xdr:grpSp>
    <xdr:clientData/>
  </xdr:twoCellAnchor>
  <xdr:twoCellAnchor>
    <xdr:from>
      <xdr:col>8</xdr:col>
      <xdr:colOff>266700</xdr:colOff>
      <xdr:row>2</xdr:row>
      <xdr:rowOff>85724</xdr:rowOff>
    </xdr:from>
    <xdr:to>
      <xdr:col>12</xdr:col>
      <xdr:colOff>514350</xdr:colOff>
      <xdr:row>3</xdr:row>
      <xdr:rowOff>123825</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5143500" y="466724"/>
          <a:ext cx="2686050"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Excel</a:t>
          </a:r>
          <a:r>
            <a:rPr lang="en-US" sz="1100" baseline="0"/>
            <a:t> Dashboard</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1.585690277781" createdVersion="6" refreshedVersion="6" minRefreshableVersion="3" recordCount="100" xr:uid="{00000000-000A-0000-FFFF-FFFF00000000}">
  <cacheSource type="worksheet">
    <worksheetSource name="Table2"/>
  </cacheSource>
  <cacheFields count="10">
    <cacheField name="Date" numFmtId="14">
      <sharedItems containsDate="1" containsMixedTypes="1" minDate="2024-01-01T00:00:00" maxDate="2024-11-02T00:00:00"/>
    </cacheField>
    <cacheField name="Branch" numFmtId="0">
      <sharedItems count="3">
        <s v="Kano"/>
        <s v="Abuja"/>
        <s v="Lagos"/>
      </sharedItems>
    </cacheField>
    <cacheField name="Product" numFmtId="0">
      <sharedItems count="4">
        <s v="Box"/>
        <s v="Shoes"/>
        <s v="Watch"/>
        <s v="Bag"/>
      </sharedItems>
    </cacheField>
    <cacheField name="Quantity" numFmtId="1">
      <sharedItems containsSemiMixedTypes="0" containsString="0" containsNumber="1" containsInteger="1" minValue="1" maxValue="20"/>
    </cacheField>
    <cacheField name="Price" numFmtId="164">
      <sharedItems containsSemiMixedTypes="0" containsString="0" containsNumber="1" containsInteger="1" minValue="202" maxValue="1997"/>
    </cacheField>
    <cacheField name="Revenue" numFmtId="164">
      <sharedItems containsSemiMixedTypes="0" containsString="0" containsNumber="1" containsInteger="1" minValue="247" maxValue="30464"/>
    </cacheField>
    <cacheField name="Status" numFmtId="0">
      <sharedItems count="3">
        <s v="Cancelled"/>
        <s v="Pending"/>
        <s v="Shipped"/>
      </sharedItems>
    </cacheField>
    <cacheField name="Month" numFmtId="0">
      <sharedItems/>
    </cacheField>
    <cacheField name="Date2" numFmtId="15">
      <sharedItems containsSemiMixedTypes="0" containsNonDate="0" containsDate="1" containsString="0" minDate="2024-01-13T00:00:00" maxDate="5605-02-15T00:00:00" count="44">
        <d v="5415-03-17T00:00:00"/>
        <d v="5506-07-15T00:00:00"/>
        <d v="2024-01-26T00:00:00"/>
        <d v="2024-01-15T00:00:00"/>
        <d v="2024-01-17T00:00:00"/>
        <d v="5299-09-14T00:00:00"/>
        <d v="5301-11-14T00:00:00"/>
        <d v="5389-12-15T00:00:00"/>
        <d v="2024-01-21T00:00:00"/>
        <d v="2024-02-15T00:00:00"/>
        <d v="2024-02-22T00:00:00"/>
        <d v="2024-02-18T00:00:00"/>
        <d v="5481-04-14T00:00:00"/>
        <d v="2024-02-28T00:00:00"/>
        <d v="2024-02-20T00:00:00"/>
        <d v="2024-02-26T00:00:00"/>
        <d v="2024-02-27T00:00:00"/>
        <d v="5539-01-14T00:00:00"/>
        <d v="2024-01-19T00:00:00"/>
        <d v="5571-07-15T00:00:00"/>
        <d v="2024-01-18T00:00:00"/>
        <d v="5572-08-14T00:00:00"/>
        <d v="5448-10-15T00:00:00"/>
        <d v="2024-01-31T00:00:00"/>
        <d v="2024-02-21T00:00:00"/>
        <d v="5326-01-14T00:00:00"/>
        <d v="5605-02-14T00:00:00"/>
        <d v="5480-03-16T00:00:00"/>
        <d v="2024-02-19T00:00:00"/>
        <d v="2024-01-22T00:00:00"/>
        <d v="5414-02-14T00:00:00"/>
        <d v="2024-01-14T00:00:00"/>
        <d v="2024-01-30T00:00:00"/>
        <d v="5391-01-14T00:00:00"/>
        <d v="2024-01-23T00:00:00"/>
        <d v="5300-10-15T00:00:00"/>
        <d v="2024-01-25T00:00:00"/>
        <d v="5356-05-15T00:00:00"/>
        <d v="2024-01-13T00:00:00"/>
        <d v="2024-02-14T00:00:00"/>
        <d v="2024-01-16T00:00:00"/>
        <d v="2024-02-25T00:00:00"/>
        <d v="2024-02-24T00:00:00"/>
        <d v="5324-12-15T00:00:00"/>
      </sharedItems>
    </cacheField>
    <cacheField name="Months" numFmtId="0">
      <sharedItems count="11">
        <s v="Mar"/>
        <s v="Jul"/>
        <s v="Jan"/>
        <s v="Sep"/>
        <s v="Nov"/>
        <s v="Dec"/>
        <s v="Feb"/>
        <s v="Apr"/>
        <s v="Aug"/>
        <s v="Oct"/>
        <s v="Ma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d v="2024-05-02T00:00:00"/>
    <x v="0"/>
    <x v="0"/>
    <n v="11"/>
    <n v="1807"/>
    <n v="19877"/>
    <x v="0"/>
    <s v="May"/>
    <x v="0"/>
    <x v="0"/>
  </r>
  <r>
    <d v="2024-08-02T00:00:00"/>
    <x v="1"/>
    <x v="1"/>
    <n v="11"/>
    <n v="1228"/>
    <n v="13508"/>
    <x v="1"/>
    <s v="August"/>
    <x v="1"/>
    <x v="1"/>
  </r>
  <r>
    <s v="26/01/2024"/>
    <x v="0"/>
    <x v="1"/>
    <n v="15"/>
    <n v="706"/>
    <n v="10590"/>
    <x v="2"/>
    <s v="26/01/2024"/>
    <x v="2"/>
    <x v="2"/>
  </r>
  <r>
    <s v="15/01/2024"/>
    <x v="0"/>
    <x v="1"/>
    <n v="19"/>
    <n v="1145"/>
    <n v="21755"/>
    <x v="2"/>
    <s v="15/01/2024"/>
    <x v="3"/>
    <x v="2"/>
  </r>
  <r>
    <s v="17/01/2024"/>
    <x v="0"/>
    <x v="0"/>
    <n v="11"/>
    <n v="213"/>
    <n v="2343"/>
    <x v="2"/>
    <s v="17/01/2024"/>
    <x v="4"/>
    <x v="2"/>
  </r>
  <r>
    <d v="2024-01-01T00:00:00"/>
    <x v="1"/>
    <x v="0"/>
    <n v="5"/>
    <n v="1147"/>
    <n v="5735"/>
    <x v="0"/>
    <s v="January"/>
    <x v="5"/>
    <x v="3"/>
  </r>
  <r>
    <d v="2024-01-03T00:00:00"/>
    <x v="2"/>
    <x v="2"/>
    <n v="1"/>
    <n v="665"/>
    <n v="665"/>
    <x v="0"/>
    <s v="January"/>
    <x v="6"/>
    <x v="4"/>
  </r>
  <r>
    <s v="17/01/2024"/>
    <x v="1"/>
    <x v="2"/>
    <n v="18"/>
    <n v="352"/>
    <n v="6336"/>
    <x v="2"/>
    <s v="17/01/2024"/>
    <x v="4"/>
    <x v="2"/>
  </r>
  <r>
    <d v="2024-04-01T00:00:00"/>
    <x v="1"/>
    <x v="0"/>
    <n v="6"/>
    <n v="1038"/>
    <n v="6228"/>
    <x v="2"/>
    <s v="April"/>
    <x v="7"/>
    <x v="5"/>
  </r>
  <r>
    <s v="21/01/2024"/>
    <x v="2"/>
    <x v="3"/>
    <n v="17"/>
    <n v="202"/>
    <n v="3434"/>
    <x v="2"/>
    <s v="21/01/2024"/>
    <x v="8"/>
    <x v="2"/>
  </r>
  <r>
    <s v="15/02/2024"/>
    <x v="2"/>
    <x v="1"/>
    <n v="19"/>
    <n v="1310"/>
    <n v="24890"/>
    <x v="1"/>
    <s v="15/02/2024"/>
    <x v="9"/>
    <x v="6"/>
  </r>
  <r>
    <s v="22/02/2024"/>
    <x v="2"/>
    <x v="1"/>
    <n v="12"/>
    <n v="1056"/>
    <n v="12672"/>
    <x v="0"/>
    <s v="22/02/2024"/>
    <x v="10"/>
    <x v="6"/>
  </r>
  <r>
    <s v="18/02/2024"/>
    <x v="0"/>
    <x v="2"/>
    <n v="1"/>
    <n v="345"/>
    <n v="345"/>
    <x v="1"/>
    <s v="18/02/2024"/>
    <x v="11"/>
    <x v="6"/>
  </r>
  <r>
    <d v="2024-07-02T00:00:00"/>
    <x v="1"/>
    <x v="3"/>
    <n v="17"/>
    <n v="1469"/>
    <n v="24973"/>
    <x v="0"/>
    <s v="July"/>
    <x v="12"/>
    <x v="7"/>
  </r>
  <r>
    <s v="21/01/2024"/>
    <x v="2"/>
    <x v="2"/>
    <n v="10"/>
    <n v="1580"/>
    <n v="15800"/>
    <x v="2"/>
    <s v="21/01/2024"/>
    <x v="8"/>
    <x v="2"/>
  </r>
  <r>
    <s v="28/02/2024"/>
    <x v="2"/>
    <x v="2"/>
    <n v="15"/>
    <n v="1157"/>
    <n v="17355"/>
    <x v="2"/>
    <s v="28/02/2024"/>
    <x v="13"/>
    <x v="6"/>
  </r>
  <r>
    <s v="20/02/2024"/>
    <x v="1"/>
    <x v="3"/>
    <n v="6"/>
    <n v="1726"/>
    <n v="10356"/>
    <x v="1"/>
    <s v="20/02/2024"/>
    <x v="14"/>
    <x v="6"/>
  </r>
  <r>
    <s v="26/02/2024"/>
    <x v="2"/>
    <x v="1"/>
    <n v="17"/>
    <n v="1792"/>
    <n v="30464"/>
    <x v="0"/>
    <s v="26/02/2024"/>
    <x v="15"/>
    <x v="6"/>
  </r>
  <r>
    <s v="27/02/2024"/>
    <x v="2"/>
    <x v="3"/>
    <n v="7"/>
    <n v="1165"/>
    <n v="8155"/>
    <x v="1"/>
    <s v="27/02/2024"/>
    <x v="16"/>
    <x v="6"/>
  </r>
  <r>
    <d v="2024-07-02T00:00:00"/>
    <x v="1"/>
    <x v="2"/>
    <n v="12"/>
    <n v="1355"/>
    <n v="16260"/>
    <x v="0"/>
    <s v="July"/>
    <x v="12"/>
    <x v="7"/>
  </r>
  <r>
    <d v="2024-09-01T00:00:00"/>
    <x v="2"/>
    <x v="2"/>
    <n v="14"/>
    <n v="487"/>
    <n v="6818"/>
    <x v="1"/>
    <s v="September"/>
    <x v="17"/>
    <x v="2"/>
  </r>
  <r>
    <s v="19/01/2024"/>
    <x v="2"/>
    <x v="2"/>
    <n v="15"/>
    <n v="383"/>
    <n v="5745"/>
    <x v="0"/>
    <s v="19/01/2024"/>
    <x v="18"/>
    <x v="2"/>
  </r>
  <r>
    <d v="2024-10-01T00:00:00"/>
    <x v="0"/>
    <x v="3"/>
    <n v="12"/>
    <n v="1525"/>
    <n v="18300"/>
    <x v="1"/>
    <s v="October"/>
    <x v="19"/>
    <x v="1"/>
  </r>
  <r>
    <s v="18/01/2024"/>
    <x v="2"/>
    <x v="3"/>
    <n v="16"/>
    <n v="1163"/>
    <n v="18608"/>
    <x v="1"/>
    <s v="18/01/2024"/>
    <x v="20"/>
    <x v="2"/>
  </r>
  <r>
    <d v="2024-10-02T00:00:00"/>
    <x v="2"/>
    <x v="2"/>
    <n v="12"/>
    <n v="523"/>
    <n v="6276"/>
    <x v="1"/>
    <s v="October"/>
    <x v="21"/>
    <x v="8"/>
  </r>
  <r>
    <d v="2024-08-02T00:00:00"/>
    <x v="0"/>
    <x v="2"/>
    <n v="16"/>
    <n v="585"/>
    <n v="9360"/>
    <x v="1"/>
    <s v="August"/>
    <x v="1"/>
    <x v="1"/>
  </r>
  <r>
    <d v="2024-06-02T00:00:00"/>
    <x v="2"/>
    <x v="3"/>
    <n v="6"/>
    <n v="1933"/>
    <n v="11598"/>
    <x v="1"/>
    <s v="June"/>
    <x v="22"/>
    <x v="9"/>
  </r>
  <r>
    <s v="31/01/2024"/>
    <x v="1"/>
    <x v="2"/>
    <n v="16"/>
    <n v="575"/>
    <n v="9200"/>
    <x v="1"/>
    <s v="31/01/2024"/>
    <x v="23"/>
    <x v="2"/>
  </r>
  <r>
    <s v="26/02/2024"/>
    <x v="0"/>
    <x v="3"/>
    <n v="15"/>
    <n v="1621"/>
    <n v="24315"/>
    <x v="0"/>
    <s v="26/02/2024"/>
    <x v="15"/>
    <x v="6"/>
  </r>
  <r>
    <s v="21/02/2024"/>
    <x v="1"/>
    <x v="0"/>
    <n v="16"/>
    <n v="1278"/>
    <n v="20448"/>
    <x v="0"/>
    <s v="21/02/2024"/>
    <x v="24"/>
    <x v="6"/>
  </r>
  <r>
    <s v="21/01/2024"/>
    <x v="1"/>
    <x v="3"/>
    <n v="11"/>
    <n v="1833"/>
    <n v="20163"/>
    <x v="2"/>
    <s v="21/01/2024"/>
    <x v="8"/>
    <x v="2"/>
  </r>
  <r>
    <s v="19/01/2024"/>
    <x v="1"/>
    <x v="0"/>
    <n v="2"/>
    <n v="1294"/>
    <n v="2588"/>
    <x v="2"/>
    <s v="19/01/2024"/>
    <x v="18"/>
    <x v="2"/>
  </r>
  <r>
    <d v="2024-02-02T00:00:00"/>
    <x v="2"/>
    <x v="1"/>
    <n v="4"/>
    <n v="458"/>
    <n v="1832"/>
    <x v="1"/>
    <s v="February"/>
    <x v="25"/>
    <x v="2"/>
  </r>
  <r>
    <d v="2024-11-01T00:00:00"/>
    <x v="0"/>
    <x v="3"/>
    <n v="15"/>
    <n v="1354"/>
    <n v="20310"/>
    <x v="0"/>
    <s v="November"/>
    <x v="26"/>
    <x v="6"/>
  </r>
  <r>
    <s v="21/02/2024"/>
    <x v="0"/>
    <x v="0"/>
    <n v="11"/>
    <n v="1486"/>
    <n v="16346"/>
    <x v="1"/>
    <s v="21/02/2024"/>
    <x v="24"/>
    <x v="6"/>
  </r>
  <r>
    <s v="15/01/2024"/>
    <x v="2"/>
    <x v="0"/>
    <n v="13"/>
    <n v="1128"/>
    <n v="14664"/>
    <x v="0"/>
    <s v="15/01/2024"/>
    <x v="3"/>
    <x v="2"/>
  </r>
  <r>
    <s v="22/02/2024"/>
    <x v="0"/>
    <x v="1"/>
    <n v="9"/>
    <n v="518"/>
    <n v="4662"/>
    <x v="2"/>
    <s v="22/02/2024"/>
    <x v="10"/>
    <x v="6"/>
  </r>
  <r>
    <d v="2024-10-02T00:00:00"/>
    <x v="1"/>
    <x v="0"/>
    <n v="2"/>
    <n v="1241"/>
    <n v="2482"/>
    <x v="1"/>
    <s v="October"/>
    <x v="21"/>
    <x v="8"/>
  </r>
  <r>
    <d v="2024-07-01T00:00:00"/>
    <x v="2"/>
    <x v="3"/>
    <n v="20"/>
    <n v="1286"/>
    <n v="25720"/>
    <x v="0"/>
    <s v="July"/>
    <x v="27"/>
    <x v="0"/>
  </r>
  <r>
    <s v="18/01/2024"/>
    <x v="0"/>
    <x v="3"/>
    <n v="8"/>
    <n v="1088"/>
    <n v="8704"/>
    <x v="0"/>
    <s v="18/01/2024"/>
    <x v="20"/>
    <x v="2"/>
  </r>
  <r>
    <s v="19/02/2024"/>
    <x v="1"/>
    <x v="3"/>
    <n v="8"/>
    <n v="1969"/>
    <n v="15752"/>
    <x v="2"/>
    <s v="19/02/2024"/>
    <x v="28"/>
    <x v="6"/>
  </r>
  <r>
    <d v="2024-07-02T00:00:00"/>
    <x v="1"/>
    <x v="0"/>
    <n v="15"/>
    <n v="1090"/>
    <n v="16350"/>
    <x v="2"/>
    <s v="July"/>
    <x v="12"/>
    <x v="7"/>
  </r>
  <r>
    <s v="22/01/2024"/>
    <x v="1"/>
    <x v="0"/>
    <n v="17"/>
    <n v="1053"/>
    <n v="17901"/>
    <x v="0"/>
    <s v="22/01/2024"/>
    <x v="29"/>
    <x v="2"/>
  </r>
  <r>
    <s v="22/02/2024"/>
    <x v="1"/>
    <x v="3"/>
    <n v="2"/>
    <n v="612"/>
    <n v="1224"/>
    <x v="0"/>
    <s v="22/02/2024"/>
    <x v="10"/>
    <x v="6"/>
  </r>
  <r>
    <d v="2024-02-02T00:00:00"/>
    <x v="2"/>
    <x v="3"/>
    <n v="3"/>
    <n v="341"/>
    <n v="1023"/>
    <x v="1"/>
    <s v="February"/>
    <x v="25"/>
    <x v="2"/>
  </r>
  <r>
    <d v="2024-05-02T00:00:00"/>
    <x v="2"/>
    <x v="1"/>
    <n v="17"/>
    <n v="933"/>
    <n v="15861"/>
    <x v="1"/>
    <s v="May"/>
    <x v="0"/>
    <x v="0"/>
  </r>
  <r>
    <d v="2024-05-01T00:00:00"/>
    <x v="2"/>
    <x v="0"/>
    <n v="8"/>
    <n v="1726"/>
    <n v="13808"/>
    <x v="1"/>
    <s v="May"/>
    <x v="30"/>
    <x v="6"/>
  </r>
  <r>
    <s v="14/01/2024"/>
    <x v="2"/>
    <x v="2"/>
    <n v="16"/>
    <n v="1651"/>
    <n v="26416"/>
    <x v="0"/>
    <s v="14/01/2024"/>
    <x v="31"/>
    <x v="2"/>
  </r>
  <r>
    <s v="31/01/2024"/>
    <x v="0"/>
    <x v="0"/>
    <n v="14"/>
    <n v="1919"/>
    <n v="26866"/>
    <x v="2"/>
    <s v="31/01/2024"/>
    <x v="23"/>
    <x v="2"/>
  </r>
  <r>
    <s v="30/01/2024"/>
    <x v="2"/>
    <x v="1"/>
    <n v="4"/>
    <n v="605"/>
    <n v="2420"/>
    <x v="0"/>
    <s v="30/01/2024"/>
    <x v="32"/>
    <x v="2"/>
  </r>
  <r>
    <d v="2024-04-02T00:00:00"/>
    <x v="1"/>
    <x v="0"/>
    <n v="18"/>
    <n v="539"/>
    <n v="9702"/>
    <x v="0"/>
    <s v="April"/>
    <x v="33"/>
    <x v="2"/>
  </r>
  <r>
    <d v="2024-06-02T00:00:00"/>
    <x v="2"/>
    <x v="2"/>
    <n v="20"/>
    <n v="668"/>
    <n v="13360"/>
    <x v="2"/>
    <s v="June"/>
    <x v="22"/>
    <x v="9"/>
  </r>
  <r>
    <s v="23/01/2024"/>
    <x v="1"/>
    <x v="3"/>
    <n v="17"/>
    <n v="768"/>
    <n v="13056"/>
    <x v="2"/>
    <s v="23/01/2024"/>
    <x v="34"/>
    <x v="2"/>
  </r>
  <r>
    <s v="28/02/2024"/>
    <x v="0"/>
    <x v="1"/>
    <n v="16"/>
    <n v="827"/>
    <n v="13232"/>
    <x v="1"/>
    <s v="28/02/2024"/>
    <x v="13"/>
    <x v="6"/>
  </r>
  <r>
    <s v="17/01/2024"/>
    <x v="0"/>
    <x v="3"/>
    <n v="6"/>
    <n v="290"/>
    <n v="1740"/>
    <x v="1"/>
    <s v="17/01/2024"/>
    <x v="4"/>
    <x v="2"/>
  </r>
  <r>
    <d v="2024-01-02T00:00:00"/>
    <x v="0"/>
    <x v="3"/>
    <n v="6"/>
    <n v="223"/>
    <n v="1338"/>
    <x v="0"/>
    <s v="January"/>
    <x v="35"/>
    <x v="9"/>
  </r>
  <r>
    <d v="2024-10-02T00:00:00"/>
    <x v="0"/>
    <x v="2"/>
    <n v="13"/>
    <n v="1440"/>
    <n v="18720"/>
    <x v="1"/>
    <s v="October"/>
    <x v="21"/>
    <x v="8"/>
  </r>
  <r>
    <s v="20/02/2024"/>
    <x v="1"/>
    <x v="1"/>
    <n v="9"/>
    <n v="570"/>
    <n v="5130"/>
    <x v="0"/>
    <s v="20/02/2024"/>
    <x v="14"/>
    <x v="6"/>
  </r>
  <r>
    <s v="15/01/2024"/>
    <x v="0"/>
    <x v="0"/>
    <n v="6"/>
    <n v="1682"/>
    <n v="10092"/>
    <x v="1"/>
    <s v="15/01/2024"/>
    <x v="3"/>
    <x v="2"/>
  </r>
  <r>
    <s v="19/02/2024"/>
    <x v="2"/>
    <x v="3"/>
    <n v="17"/>
    <n v="1553"/>
    <n v="26401"/>
    <x v="0"/>
    <s v="19/02/2024"/>
    <x v="28"/>
    <x v="6"/>
  </r>
  <r>
    <d v="2024-01-01T00:00:00"/>
    <x v="1"/>
    <x v="1"/>
    <n v="19"/>
    <n v="917"/>
    <n v="17423"/>
    <x v="1"/>
    <s v="January"/>
    <x v="5"/>
    <x v="3"/>
  </r>
  <r>
    <s v="25/01/2024"/>
    <x v="2"/>
    <x v="3"/>
    <n v="9"/>
    <n v="605"/>
    <n v="5445"/>
    <x v="1"/>
    <s v="25/01/2024"/>
    <x v="36"/>
    <x v="2"/>
  </r>
  <r>
    <s v="22/01/2024"/>
    <x v="2"/>
    <x v="2"/>
    <n v="3"/>
    <n v="1620"/>
    <n v="4860"/>
    <x v="1"/>
    <s v="22/01/2024"/>
    <x v="29"/>
    <x v="2"/>
  </r>
  <r>
    <s v="22/02/2024"/>
    <x v="0"/>
    <x v="3"/>
    <n v="14"/>
    <n v="780"/>
    <n v="10920"/>
    <x v="0"/>
    <s v="22/02/2024"/>
    <x v="10"/>
    <x v="6"/>
  </r>
  <r>
    <s v="18/01/2024"/>
    <x v="1"/>
    <x v="1"/>
    <n v="4"/>
    <n v="1459"/>
    <n v="5836"/>
    <x v="2"/>
    <s v="18/01/2024"/>
    <x v="20"/>
    <x v="2"/>
  </r>
  <r>
    <s v="18/02/2024"/>
    <x v="0"/>
    <x v="1"/>
    <n v="9"/>
    <n v="1551"/>
    <n v="13959"/>
    <x v="0"/>
    <s v="18/02/2024"/>
    <x v="11"/>
    <x v="6"/>
  </r>
  <r>
    <d v="2024-03-01T00:00:00"/>
    <x v="1"/>
    <x v="2"/>
    <n v="10"/>
    <n v="1693"/>
    <n v="16930"/>
    <x v="2"/>
    <s v="March"/>
    <x v="37"/>
    <x v="10"/>
  </r>
  <r>
    <d v="2024-03-01T00:00:00"/>
    <x v="0"/>
    <x v="3"/>
    <n v="2"/>
    <n v="658"/>
    <n v="1316"/>
    <x v="1"/>
    <s v="March"/>
    <x v="37"/>
    <x v="10"/>
  </r>
  <r>
    <d v="2024-04-01T00:00:00"/>
    <x v="1"/>
    <x v="1"/>
    <n v="1"/>
    <n v="1465"/>
    <n v="1465"/>
    <x v="2"/>
    <s v="April"/>
    <x v="7"/>
    <x v="5"/>
  </r>
  <r>
    <d v="2024-07-02T00:00:00"/>
    <x v="1"/>
    <x v="3"/>
    <n v="16"/>
    <n v="1531"/>
    <n v="24496"/>
    <x v="2"/>
    <s v="July"/>
    <x v="12"/>
    <x v="7"/>
  </r>
  <r>
    <s v="13/01/2024"/>
    <x v="0"/>
    <x v="3"/>
    <n v="16"/>
    <n v="1833"/>
    <n v="29328"/>
    <x v="1"/>
    <s v="13/01/2024"/>
    <x v="38"/>
    <x v="2"/>
  </r>
  <r>
    <d v="2024-05-01T00:00:00"/>
    <x v="0"/>
    <x v="1"/>
    <n v="6"/>
    <n v="273"/>
    <n v="1638"/>
    <x v="0"/>
    <s v="May"/>
    <x v="30"/>
    <x v="6"/>
  </r>
  <r>
    <s v="14/02/2024"/>
    <x v="2"/>
    <x v="0"/>
    <n v="3"/>
    <n v="1091"/>
    <n v="3273"/>
    <x v="2"/>
    <s v="14/02/2024"/>
    <x v="39"/>
    <x v="6"/>
  </r>
  <r>
    <s v="16/01/2024"/>
    <x v="0"/>
    <x v="2"/>
    <n v="6"/>
    <n v="1325"/>
    <n v="7950"/>
    <x v="0"/>
    <s v="16/01/2024"/>
    <x v="40"/>
    <x v="2"/>
  </r>
  <r>
    <s v="25/02/2024"/>
    <x v="0"/>
    <x v="2"/>
    <n v="17"/>
    <n v="1080"/>
    <n v="18360"/>
    <x v="1"/>
    <s v="25/02/2024"/>
    <x v="41"/>
    <x v="6"/>
  </r>
  <r>
    <s v="24/02/2024"/>
    <x v="0"/>
    <x v="0"/>
    <n v="4"/>
    <n v="1862"/>
    <n v="7448"/>
    <x v="2"/>
    <s v="24/02/2024"/>
    <x v="42"/>
    <x v="6"/>
  </r>
  <r>
    <s v="22/01/2024"/>
    <x v="1"/>
    <x v="0"/>
    <n v="9"/>
    <n v="603"/>
    <n v="5427"/>
    <x v="2"/>
    <s v="22/01/2024"/>
    <x v="29"/>
    <x v="2"/>
  </r>
  <r>
    <s v="17/01/2024"/>
    <x v="2"/>
    <x v="1"/>
    <n v="10"/>
    <n v="654"/>
    <n v="6540"/>
    <x v="1"/>
    <s v="17/01/2024"/>
    <x v="4"/>
    <x v="2"/>
  </r>
  <r>
    <d v="2024-06-02T00:00:00"/>
    <x v="1"/>
    <x v="1"/>
    <n v="4"/>
    <n v="492"/>
    <n v="1968"/>
    <x v="0"/>
    <s v="June"/>
    <x v="22"/>
    <x v="9"/>
  </r>
  <r>
    <s v="18/02/2024"/>
    <x v="1"/>
    <x v="1"/>
    <n v="20"/>
    <n v="1174"/>
    <n v="23480"/>
    <x v="1"/>
    <s v="18/02/2024"/>
    <x v="11"/>
    <x v="6"/>
  </r>
  <r>
    <d v="2024-07-01T00:00:00"/>
    <x v="0"/>
    <x v="1"/>
    <n v="7"/>
    <n v="370"/>
    <n v="2590"/>
    <x v="1"/>
    <s v="July"/>
    <x v="27"/>
    <x v="0"/>
  </r>
  <r>
    <d v="2024-10-02T00:00:00"/>
    <x v="1"/>
    <x v="3"/>
    <n v="10"/>
    <n v="420"/>
    <n v="4200"/>
    <x v="0"/>
    <s v="October"/>
    <x v="21"/>
    <x v="8"/>
  </r>
  <r>
    <d v="2024-04-02T00:00:00"/>
    <x v="0"/>
    <x v="1"/>
    <n v="15"/>
    <n v="922"/>
    <n v="13830"/>
    <x v="2"/>
    <s v="April"/>
    <x v="33"/>
    <x v="2"/>
  </r>
  <r>
    <d v="2024-02-01T00:00:00"/>
    <x v="0"/>
    <x v="0"/>
    <n v="10"/>
    <n v="1997"/>
    <n v="19970"/>
    <x v="2"/>
    <s v="February"/>
    <x v="43"/>
    <x v="5"/>
  </r>
  <r>
    <d v="2024-10-01T00:00:00"/>
    <x v="2"/>
    <x v="2"/>
    <n v="2"/>
    <n v="864"/>
    <n v="1728"/>
    <x v="2"/>
    <s v="October"/>
    <x v="19"/>
    <x v="1"/>
  </r>
  <r>
    <s v="15/02/2024"/>
    <x v="0"/>
    <x v="1"/>
    <n v="4"/>
    <n v="273"/>
    <n v="1092"/>
    <x v="0"/>
    <s v="15/02/2024"/>
    <x v="9"/>
    <x v="6"/>
  </r>
  <r>
    <d v="2024-05-02T00:00:00"/>
    <x v="0"/>
    <x v="2"/>
    <n v="9"/>
    <n v="1445"/>
    <n v="13005"/>
    <x v="2"/>
    <s v="May"/>
    <x v="0"/>
    <x v="0"/>
  </r>
  <r>
    <s v="22/01/2024"/>
    <x v="0"/>
    <x v="1"/>
    <n v="14"/>
    <n v="229"/>
    <n v="3206"/>
    <x v="1"/>
    <s v="22/01/2024"/>
    <x v="29"/>
    <x v="2"/>
  </r>
  <r>
    <s v="18/02/2024"/>
    <x v="2"/>
    <x v="0"/>
    <n v="15"/>
    <n v="963"/>
    <n v="14445"/>
    <x v="0"/>
    <s v="18/02/2024"/>
    <x v="11"/>
    <x v="6"/>
  </r>
  <r>
    <d v="2024-01-03T00:00:00"/>
    <x v="0"/>
    <x v="2"/>
    <n v="14"/>
    <n v="1701"/>
    <n v="23814"/>
    <x v="1"/>
    <s v="January"/>
    <x v="6"/>
    <x v="4"/>
  </r>
  <r>
    <s v="31/01/2024"/>
    <x v="0"/>
    <x v="2"/>
    <n v="12"/>
    <n v="1938"/>
    <n v="23256"/>
    <x v="1"/>
    <s v="31/01/2024"/>
    <x v="23"/>
    <x v="2"/>
  </r>
  <r>
    <d v="2024-06-02T00:00:00"/>
    <x v="2"/>
    <x v="1"/>
    <n v="7"/>
    <n v="1283"/>
    <n v="8981"/>
    <x v="0"/>
    <s v="June"/>
    <x v="22"/>
    <x v="9"/>
  </r>
  <r>
    <d v="2024-04-01T00:00:00"/>
    <x v="0"/>
    <x v="0"/>
    <n v="16"/>
    <n v="265"/>
    <n v="4240"/>
    <x v="2"/>
    <s v="April"/>
    <x v="7"/>
    <x v="5"/>
  </r>
  <r>
    <s v="21/01/2024"/>
    <x v="0"/>
    <x v="2"/>
    <n v="18"/>
    <n v="1460"/>
    <n v="26280"/>
    <x v="0"/>
    <s v="21/01/2024"/>
    <x v="8"/>
    <x v="2"/>
  </r>
  <r>
    <d v="2024-08-02T00:00:00"/>
    <x v="0"/>
    <x v="1"/>
    <n v="12"/>
    <n v="423"/>
    <n v="5076"/>
    <x v="1"/>
    <s v="August"/>
    <x v="1"/>
    <x v="1"/>
  </r>
  <r>
    <d v="2024-07-02T00:00:00"/>
    <x v="1"/>
    <x v="2"/>
    <n v="10"/>
    <n v="716"/>
    <n v="7160"/>
    <x v="2"/>
    <s v="July"/>
    <x v="12"/>
    <x v="7"/>
  </r>
  <r>
    <s v="15/02/2024"/>
    <x v="0"/>
    <x v="1"/>
    <n v="9"/>
    <n v="837"/>
    <n v="7533"/>
    <x v="0"/>
    <s v="15/02/2024"/>
    <x v="9"/>
    <x v="6"/>
  </r>
  <r>
    <s v="19/01/2024"/>
    <x v="2"/>
    <x v="3"/>
    <n v="4"/>
    <n v="1766"/>
    <n v="7064"/>
    <x v="0"/>
    <s v="19/01/2024"/>
    <x v="18"/>
    <x v="2"/>
  </r>
  <r>
    <s v="14/01/2024"/>
    <x v="2"/>
    <x v="2"/>
    <n v="9"/>
    <n v="1132"/>
    <n v="10188"/>
    <x v="0"/>
    <s v="14/01/2024"/>
    <x v="31"/>
    <x v="2"/>
  </r>
  <r>
    <s v="18/02/2024"/>
    <x v="1"/>
    <x v="3"/>
    <n v="1"/>
    <n v="247"/>
    <n v="247"/>
    <x v="0"/>
    <s v="18/02/2024"/>
    <x v="1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4">
  <location ref="I3:J7" firstHeaderRow="1" firstDataRow="1" firstDataCol="1"/>
  <pivotFields count="10">
    <pivotField showAll="0"/>
    <pivotField showAll="0">
      <items count="4">
        <item x="1"/>
        <item x="0"/>
        <item x="2"/>
        <item t="default"/>
      </items>
    </pivotField>
    <pivotField showAll="0">
      <items count="5">
        <item x="3"/>
        <item x="0"/>
        <item x="1"/>
        <item x="2"/>
        <item t="default"/>
      </items>
    </pivotField>
    <pivotField numFmtId="1" showAll="0"/>
    <pivotField numFmtId="164" showAll="0"/>
    <pivotField numFmtId="164" showAll="0"/>
    <pivotField axis="axisRow" dataField="1" showAll="0">
      <items count="4">
        <item x="0"/>
        <item x="1"/>
        <item x="2"/>
        <item t="default"/>
      </items>
    </pivotField>
    <pivotField showAll="0" defaultSubtotal="0"/>
    <pivotField numFmtId="15" showAll="0" defaultSubtotal="0">
      <items count="44">
        <item x="38"/>
        <item x="31"/>
        <item x="3"/>
        <item x="40"/>
        <item x="4"/>
        <item x="20"/>
        <item x="18"/>
        <item x="8"/>
        <item x="29"/>
        <item x="34"/>
        <item x="36"/>
        <item x="2"/>
        <item x="32"/>
        <item x="23"/>
        <item x="39"/>
        <item x="9"/>
        <item x="11"/>
        <item x="28"/>
        <item x="14"/>
        <item x="24"/>
        <item x="10"/>
        <item x="42"/>
        <item x="41"/>
        <item x="15"/>
        <item x="16"/>
        <item x="13"/>
        <item x="5"/>
        <item x="35"/>
        <item x="6"/>
        <item x="43"/>
        <item x="25"/>
        <item x="37"/>
        <item x="7"/>
        <item x="33"/>
        <item x="30"/>
        <item x="0"/>
        <item x="22"/>
        <item x="27"/>
        <item x="12"/>
        <item x="1"/>
        <item x="17"/>
        <item x="19"/>
        <item x="21"/>
        <item x="26"/>
      </items>
    </pivotField>
    <pivotField showAll="0" defaultSubtotal="0">
      <items count="11">
        <item x="2"/>
        <item x="6"/>
        <item x="0"/>
        <item x="7"/>
        <item x="10"/>
        <item x="1"/>
        <item x="8"/>
        <item x="3"/>
        <item x="9"/>
        <item x="4"/>
        <item x="5"/>
      </items>
    </pivotField>
  </pivotFields>
  <rowFields count="1">
    <field x="6"/>
  </rowFields>
  <rowItems count="4">
    <i>
      <x/>
    </i>
    <i>
      <x v="1"/>
    </i>
    <i>
      <x v="2"/>
    </i>
    <i t="grand">
      <x/>
    </i>
  </rowItems>
  <colItems count="1">
    <i/>
  </colItems>
  <dataFields count="1">
    <dataField name="Count of Status" fld="6" subtotal="count" baseField="0" baseItem="0"/>
  </dataFields>
  <chartFormats count="6">
    <chartFormat chart="1"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8"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L3:L4" firstHeaderRow="1" firstDataRow="1" firstDataCol="0"/>
  <pivotFields count="10">
    <pivotField showAll="0"/>
    <pivotField showAll="0">
      <items count="4">
        <item x="1"/>
        <item x="0"/>
        <item x="2"/>
        <item t="default"/>
      </items>
    </pivotField>
    <pivotField showAll="0">
      <items count="5">
        <item x="3"/>
        <item x="0"/>
        <item x="1"/>
        <item x="2"/>
        <item t="default"/>
      </items>
    </pivotField>
    <pivotField numFmtId="1" showAll="0"/>
    <pivotField numFmtId="164" showAll="0"/>
    <pivotField numFmtId="164" showAll="0"/>
    <pivotField dataField="1" showAll="0">
      <items count="4">
        <item x="0"/>
        <item x="1"/>
        <item x="2"/>
        <item t="default"/>
      </items>
    </pivotField>
    <pivotField showAll="0" defaultSubtotal="0"/>
    <pivotField numFmtId="15" showAll="0" defaultSubtotal="0">
      <items count="44">
        <item x="38"/>
        <item x="31"/>
        <item x="3"/>
        <item x="40"/>
        <item x="4"/>
        <item x="20"/>
        <item x="18"/>
        <item x="8"/>
        <item x="29"/>
        <item x="34"/>
        <item x="36"/>
        <item x="2"/>
        <item x="32"/>
        <item x="23"/>
        <item x="39"/>
        <item x="9"/>
        <item x="11"/>
        <item x="28"/>
        <item x="14"/>
        <item x="24"/>
        <item x="10"/>
        <item x="42"/>
        <item x="41"/>
        <item x="15"/>
        <item x="16"/>
        <item x="13"/>
        <item x="5"/>
        <item x="35"/>
        <item x="6"/>
        <item x="43"/>
        <item x="25"/>
        <item x="37"/>
        <item x="7"/>
        <item x="33"/>
        <item x="30"/>
        <item x="0"/>
        <item x="22"/>
        <item x="27"/>
        <item x="12"/>
        <item x="1"/>
        <item x="17"/>
        <item x="19"/>
        <item x="21"/>
        <item x="26"/>
      </items>
    </pivotField>
    <pivotField showAll="0" defaultSubtotal="0">
      <items count="11">
        <item x="2"/>
        <item x="6"/>
        <item x="0"/>
        <item x="7"/>
        <item x="10"/>
        <item x="1"/>
        <item x="8"/>
        <item x="3"/>
        <item x="9"/>
        <item x="4"/>
        <item x="5"/>
      </items>
    </pivotField>
  </pivotFields>
  <rowItems count="1">
    <i/>
  </rowItems>
  <colItems count="1">
    <i/>
  </colItems>
  <dataFields count="1">
    <dataField name="Count of Status" fld="6" subtotal="count" baseField="0" baseItem="0" numFmtId="165"/>
  </dataFields>
  <formats count="10">
    <format dxfId="9">
      <pivotArea outline="0" collapsedLevelsAreSubtotals="1"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2">
  <location ref="C12:D16" firstHeaderRow="1" firstDataRow="1" firstDataCol="1"/>
  <pivotFields count="1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numFmtId="1" showAll="0"/>
    <pivotField numFmtId="164" showAll="0"/>
    <pivotField dataField="1" numFmtId="164" showAll="0"/>
    <pivotField showAll="0">
      <items count="4">
        <item x="0"/>
        <item x="1"/>
        <item x="2"/>
        <item t="default"/>
      </items>
    </pivotField>
    <pivotField showAll="0" defaultSubtotal="0"/>
    <pivotField numFmtId="15" showAll="0" defaultSubtotal="0">
      <items count="44">
        <item x="38"/>
        <item x="31"/>
        <item x="3"/>
        <item x="40"/>
        <item x="4"/>
        <item x="20"/>
        <item x="18"/>
        <item x="8"/>
        <item x="29"/>
        <item x="34"/>
        <item x="36"/>
        <item x="2"/>
        <item x="32"/>
        <item x="23"/>
        <item x="39"/>
        <item x="9"/>
        <item x="11"/>
        <item x="28"/>
        <item x="14"/>
        <item x="24"/>
        <item x="10"/>
        <item x="42"/>
        <item x="41"/>
        <item x="15"/>
        <item x="16"/>
        <item x="13"/>
        <item x="5"/>
        <item x="35"/>
        <item x="6"/>
        <item x="43"/>
        <item x="25"/>
        <item x="37"/>
        <item x="7"/>
        <item x="33"/>
        <item x="30"/>
        <item x="0"/>
        <item x="22"/>
        <item x="27"/>
        <item x="12"/>
        <item x="1"/>
        <item x="17"/>
        <item x="19"/>
        <item x="21"/>
        <item x="26"/>
      </items>
    </pivotField>
    <pivotField showAll="0" defaultSubtotal="0">
      <items count="11">
        <item x="2"/>
        <item x="6"/>
        <item x="0"/>
        <item x="7"/>
        <item x="10"/>
        <item x="1"/>
        <item x="8"/>
        <item x="3"/>
        <item x="9"/>
        <item x="4"/>
        <item x="5"/>
      </items>
    </pivotField>
  </pivotFields>
  <rowFields count="1">
    <field x="1"/>
  </rowFields>
  <rowItems count="4">
    <i>
      <x v="1"/>
    </i>
    <i>
      <x v="2"/>
    </i>
    <i>
      <x/>
    </i>
    <i t="grand">
      <x/>
    </i>
  </rowItems>
  <colItems count="1">
    <i/>
  </colItems>
  <dataFields count="1">
    <dataField name="Sum of Revenue" fld="5" baseField="0" baseItem="0" numFmtId="166"/>
  </dataFields>
  <formats count="6">
    <format dxfId="15">
      <pivotArea outline="0" collapsedLevelsAreSubtotals="1" fieldPosition="0"/>
    </format>
    <format dxfId="14">
      <pivotArea dataOnly="0" labelOnly="1" outline="0" axis="axisValues" fieldPosition="0"/>
    </format>
    <format dxfId="13">
      <pivotArea dataOnly="0" labelOnly="1" outline="0" axis="axisValues" fieldPosition="0"/>
    </format>
    <format dxfId="12">
      <pivotArea outline="0" collapsedLevelsAreSubtotals="1" fieldPosition="0"/>
    </format>
    <format dxfId="11">
      <pivotArea dataOnly="0" labelOnly="1" outline="0" axis="axisValues" fieldPosition="0"/>
    </format>
    <format dxfId="10">
      <pivotArea dataOnly="0" labelOnly="1" outline="0" axis="axisValues" fieldPosition="0"/>
    </format>
  </formats>
  <chartFormats count="4">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2">
  <location ref="C3:D7" firstHeaderRow="1" firstDataRow="1" firstDataCol="1"/>
  <pivotFields count="1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numFmtId="1" showAll="0"/>
    <pivotField numFmtId="164" showAll="0"/>
    <pivotField dataField="1" numFmtId="164" showAll="0"/>
    <pivotField showAll="0">
      <items count="4">
        <item x="0"/>
        <item x="1"/>
        <item x="2"/>
        <item t="default"/>
      </items>
    </pivotField>
    <pivotField showAll="0" defaultSubtotal="0"/>
    <pivotField numFmtId="15" showAll="0" defaultSubtotal="0">
      <items count="44">
        <item x="38"/>
        <item x="31"/>
        <item x="3"/>
        <item x="40"/>
        <item x="4"/>
        <item x="20"/>
        <item x="18"/>
        <item x="8"/>
        <item x="29"/>
        <item x="34"/>
        <item x="36"/>
        <item x="2"/>
        <item x="32"/>
        <item x="23"/>
        <item x="39"/>
        <item x="9"/>
        <item x="11"/>
        <item x="28"/>
        <item x="14"/>
        <item x="24"/>
        <item x="10"/>
        <item x="42"/>
        <item x="41"/>
        <item x="15"/>
        <item x="16"/>
        <item x="13"/>
        <item x="5"/>
        <item x="35"/>
        <item x="6"/>
        <item x="43"/>
        <item x="25"/>
        <item x="37"/>
        <item x="7"/>
        <item x="33"/>
        <item x="30"/>
        <item x="0"/>
        <item x="22"/>
        <item x="27"/>
        <item x="12"/>
        <item x="1"/>
        <item x="17"/>
        <item x="19"/>
        <item x="21"/>
        <item x="26"/>
      </items>
    </pivotField>
    <pivotField showAll="0" defaultSubtotal="0">
      <items count="11">
        <item x="2"/>
        <item x="6"/>
        <item x="0"/>
        <item x="7"/>
        <item x="10"/>
        <item x="1"/>
        <item x="8"/>
        <item x="3"/>
        <item x="9"/>
        <item x="4"/>
        <item x="5"/>
      </items>
    </pivotField>
  </pivotFields>
  <rowFields count="1">
    <field x="1"/>
  </rowFields>
  <rowItems count="4">
    <i>
      <x v="1"/>
    </i>
    <i>
      <x v="2"/>
    </i>
    <i>
      <x/>
    </i>
    <i t="grand">
      <x/>
    </i>
  </rowItems>
  <colItems count="1">
    <i/>
  </colItems>
  <dataFields count="1">
    <dataField name="Sum of Revenue" fld="5" baseField="0" baseItem="0" numFmtId="166"/>
  </dataFields>
  <formats count="6">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outline="0" collapsedLevelsAreSubtotals="1" fieldPosition="0"/>
    </format>
    <format dxfId="17">
      <pivotArea dataOnly="0" labelOnly="1" outline="0" axis="axisValues" fieldPosition="0"/>
    </format>
    <format dxfId="16">
      <pivotArea dataOnly="0" labelOnly="1" outline="0" axis="axisValues" fieldPosition="0"/>
    </format>
  </formats>
  <chartFormats count="3">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2">
  <location ref="F3:G8" firstHeaderRow="1" firstDataRow="1" firstDataCol="1"/>
  <pivotFields count="10">
    <pivotField showAll="0"/>
    <pivotField showAll="0">
      <items count="4">
        <item x="1"/>
        <item x="0"/>
        <item x="2"/>
        <item t="default"/>
      </items>
    </pivotField>
    <pivotField axis="axisRow" showAll="0">
      <items count="5">
        <item x="3"/>
        <item x="0"/>
        <item x="1"/>
        <item x="2"/>
        <item t="default"/>
      </items>
    </pivotField>
    <pivotField dataField="1" numFmtId="1" showAll="0"/>
    <pivotField numFmtId="164" showAll="0"/>
    <pivotField numFmtId="164" showAll="0"/>
    <pivotField showAll="0">
      <items count="4">
        <item x="0"/>
        <item x="1"/>
        <item x="2"/>
        <item t="default"/>
      </items>
    </pivotField>
    <pivotField showAll="0" defaultSubtotal="0"/>
    <pivotField numFmtId="15" showAll="0" defaultSubtotal="0">
      <items count="44">
        <item x="38"/>
        <item x="31"/>
        <item x="3"/>
        <item x="40"/>
        <item x="4"/>
        <item x="20"/>
        <item x="18"/>
        <item x="8"/>
        <item x="29"/>
        <item x="34"/>
        <item x="36"/>
        <item x="2"/>
        <item x="32"/>
        <item x="23"/>
        <item x="39"/>
        <item x="9"/>
        <item x="11"/>
        <item x="28"/>
        <item x="14"/>
        <item x="24"/>
        <item x="10"/>
        <item x="42"/>
        <item x="41"/>
        <item x="15"/>
        <item x="16"/>
        <item x="13"/>
        <item x="5"/>
        <item x="35"/>
        <item x="6"/>
        <item x="43"/>
        <item x="25"/>
        <item x="37"/>
        <item x="7"/>
        <item x="33"/>
        <item x="30"/>
        <item x="0"/>
        <item x="22"/>
        <item x="27"/>
        <item x="12"/>
        <item x="1"/>
        <item x="17"/>
        <item x="19"/>
        <item x="21"/>
        <item x="26"/>
      </items>
    </pivotField>
    <pivotField showAll="0" defaultSubtotal="0">
      <items count="11">
        <item x="2"/>
        <item x="6"/>
        <item x="0"/>
        <item x="7"/>
        <item x="10"/>
        <item x="1"/>
        <item x="8"/>
        <item x="3"/>
        <item x="9"/>
        <item x="4"/>
        <item x="5"/>
      </items>
    </pivotField>
  </pivotFields>
  <rowFields count="1">
    <field x="2"/>
  </rowFields>
  <rowItems count="5">
    <i>
      <x/>
    </i>
    <i>
      <x v="1"/>
    </i>
    <i>
      <x v="2"/>
    </i>
    <i>
      <x v="3"/>
    </i>
    <i t="grand">
      <x/>
    </i>
  </rowItems>
  <colItems count="1">
    <i/>
  </colItems>
  <dataFields count="1">
    <dataField name="Sum of Quantity" fld="3" baseField="0" baseItem="0"/>
  </dataFields>
  <chartFormats count="13">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2" count="1" selected="0">
            <x v="0"/>
          </reference>
        </references>
      </pivotArea>
    </chartFormat>
    <chartFormat chart="0" format="13">
      <pivotArea type="data" outline="0" fieldPosition="0">
        <references count="2">
          <reference field="4294967294" count="1" selected="0">
            <x v="0"/>
          </reference>
          <reference field="2" count="1" selected="0">
            <x v="1"/>
          </reference>
        </references>
      </pivotArea>
    </chartFormat>
    <chartFormat chart="2" format="27" series="1">
      <pivotArea type="data" outline="0" fieldPosition="0">
        <references count="1">
          <reference field="4294967294" count="1" selected="0">
            <x v="0"/>
          </reference>
        </references>
      </pivotArea>
    </chartFormat>
    <chartFormat chart="2" format="28">
      <pivotArea type="data" outline="0" fieldPosition="0">
        <references count="2">
          <reference field="4294967294" count="1" selected="0">
            <x v="0"/>
          </reference>
          <reference field="2" count="1" selected="0">
            <x v="0"/>
          </reference>
        </references>
      </pivotArea>
    </chartFormat>
    <chartFormat chart="2" format="29">
      <pivotArea type="data" outline="0" fieldPosition="0">
        <references count="2">
          <reference field="4294967294" count="1" selected="0">
            <x v="0"/>
          </reference>
          <reference field="2" count="1" selected="0">
            <x v="1"/>
          </reference>
        </references>
      </pivotArea>
    </chartFormat>
    <chartFormat chart="2" format="30">
      <pivotArea type="data" outline="0" fieldPosition="0">
        <references count="2">
          <reference field="4294967294" count="1" selected="0">
            <x v="0"/>
          </reference>
          <reference field="2" count="1" selected="0">
            <x v="2"/>
          </reference>
        </references>
      </pivotArea>
    </chartFormat>
    <chartFormat chart="2" format="31">
      <pivotArea type="data" outline="0" fieldPosition="0">
        <references count="2">
          <reference field="4294967294" count="1" selected="0">
            <x v="0"/>
          </reference>
          <reference field="2" count="1" selected="0">
            <x v="3"/>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17"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7"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5">
  <location ref="I13:J25" firstHeaderRow="1" firstDataRow="1" firstDataCol="1"/>
  <pivotFields count="10">
    <pivotField showAll="0"/>
    <pivotField showAll="0">
      <items count="4">
        <item x="1"/>
        <item x="0"/>
        <item x="2"/>
        <item t="default"/>
      </items>
    </pivotField>
    <pivotField showAll="0">
      <items count="5">
        <item x="3"/>
        <item x="0"/>
        <item x="1"/>
        <item x="2"/>
        <item t="default"/>
      </items>
    </pivotField>
    <pivotField numFmtId="1" showAll="0"/>
    <pivotField numFmtId="164" showAll="0"/>
    <pivotField dataField="1" numFmtId="164" showAll="0"/>
    <pivotField showAll="0">
      <items count="4">
        <item x="0"/>
        <item x="1"/>
        <item x="2"/>
        <item t="default"/>
      </items>
    </pivotField>
    <pivotField showAll="0" defaultSubtotal="0"/>
    <pivotField numFmtId="15" showAll="0" defaultSubtotal="0">
      <items count="44">
        <item x="38"/>
        <item x="31"/>
        <item x="3"/>
        <item x="40"/>
        <item x="4"/>
        <item x="20"/>
        <item x="18"/>
        <item x="8"/>
        <item x="29"/>
        <item x="34"/>
        <item x="36"/>
        <item x="2"/>
        <item x="32"/>
        <item x="23"/>
        <item x="39"/>
        <item x="9"/>
        <item x="11"/>
        <item x="28"/>
        <item x="14"/>
        <item x="24"/>
        <item x="10"/>
        <item x="42"/>
        <item x="41"/>
        <item x="15"/>
        <item x="16"/>
        <item x="13"/>
        <item x="5"/>
        <item x="35"/>
        <item x="6"/>
        <item x="43"/>
        <item x="25"/>
        <item x="37"/>
        <item x="7"/>
        <item x="33"/>
        <item x="30"/>
        <item x="0"/>
        <item x="22"/>
        <item x="27"/>
        <item x="12"/>
        <item x="1"/>
        <item x="17"/>
        <item x="19"/>
        <item x="21"/>
        <item x="26"/>
      </items>
    </pivotField>
    <pivotField axis="axisRow" showAll="0" defaultSubtotal="0">
      <items count="11">
        <item x="2"/>
        <item x="6"/>
        <item x="0"/>
        <item x="7"/>
        <item x="10"/>
        <item x="1"/>
        <item x="8"/>
        <item x="3"/>
        <item x="9"/>
        <item x="4"/>
        <item x="5"/>
      </items>
    </pivotField>
  </pivotFields>
  <rowFields count="1">
    <field x="9"/>
  </rowFields>
  <rowItems count="12">
    <i>
      <x/>
    </i>
    <i>
      <x v="1"/>
    </i>
    <i>
      <x v="2"/>
    </i>
    <i>
      <x v="3"/>
    </i>
    <i>
      <x v="4"/>
    </i>
    <i>
      <x v="5"/>
    </i>
    <i>
      <x v="6"/>
    </i>
    <i>
      <x v="7"/>
    </i>
    <i>
      <x v="8"/>
    </i>
    <i>
      <x v="9"/>
    </i>
    <i>
      <x v="10"/>
    </i>
    <i t="grand">
      <x/>
    </i>
  </rowItems>
  <colItems count="1">
    <i/>
  </colItems>
  <dataFields count="1">
    <dataField name="Sum of Revenue" fld="5" baseField="0" baseItem="0" numFmtId="166"/>
  </dataFields>
  <formats count="1">
    <format dxfId="22">
      <pivotArea outline="0" collapsedLevelsAreSubtotals="1" fieldPosition="0"/>
    </format>
  </formats>
  <chartFormats count="20">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9" count="1" selected="0">
            <x v="1"/>
          </reference>
        </references>
      </pivotArea>
    </chartFormat>
    <chartFormat chart="22" format="2">
      <pivotArea type="data" outline="0" fieldPosition="0">
        <references count="2">
          <reference field="4294967294" count="1" selected="0">
            <x v="0"/>
          </reference>
          <reference field="9" count="1" selected="0">
            <x v="3"/>
          </reference>
        </references>
      </pivotArea>
    </chartFormat>
    <chartFormat chart="22" format="3">
      <pivotArea type="data" outline="0" fieldPosition="0">
        <references count="2">
          <reference field="4294967294" count="1" selected="0">
            <x v="0"/>
          </reference>
          <reference field="9" count="1" selected="0">
            <x v="7"/>
          </reference>
        </references>
      </pivotArea>
    </chartFormat>
    <chartFormat chart="22" format="4">
      <pivotArea type="data" outline="0" fieldPosition="0">
        <references count="2">
          <reference field="4294967294" count="1" selected="0">
            <x v="0"/>
          </reference>
          <reference field="9" count="1" selected="0">
            <x v="6"/>
          </reference>
        </references>
      </pivotArea>
    </chartFormat>
    <chartFormat chart="22" format="5">
      <pivotArea type="data" outline="0" fieldPosition="0">
        <references count="2">
          <reference field="4294967294" count="1" selected="0">
            <x v="0"/>
          </reference>
          <reference field="9" count="1" selected="0">
            <x v="5"/>
          </reference>
        </references>
      </pivotArea>
    </chartFormat>
    <chartFormat chart="22" format="6">
      <pivotArea type="data" outline="0" fieldPosition="0">
        <references count="2">
          <reference field="4294967294" count="1" selected="0">
            <x v="0"/>
          </reference>
          <reference field="9" count="1" selected="0">
            <x v="4"/>
          </reference>
        </references>
      </pivotArea>
    </chartFormat>
    <chartFormat chart="22" format="7">
      <pivotArea type="data" outline="0" fieldPosition="0">
        <references count="2">
          <reference field="4294967294" count="1" selected="0">
            <x v="0"/>
          </reference>
          <reference field="9" count="1" selected="0">
            <x v="8"/>
          </reference>
        </references>
      </pivotArea>
    </chartFormat>
    <chartFormat chart="22" format="8">
      <pivotArea type="data" outline="0" fieldPosition="0">
        <references count="2">
          <reference field="4294967294" count="1" selected="0">
            <x v="0"/>
          </reference>
          <reference field="9" count="1" selected="0">
            <x v="9"/>
          </reference>
        </references>
      </pivotArea>
    </chartFormat>
    <chartFormat chart="22" format="9">
      <pivotArea type="data" outline="0" fieldPosition="0">
        <references count="2">
          <reference field="4294967294" count="1" selected="0">
            <x v="0"/>
          </reference>
          <reference field="9" count="1" selected="0">
            <x v="2"/>
          </reference>
        </references>
      </pivotArea>
    </chartFormat>
    <chartFormat chart="24" format="20" series="1">
      <pivotArea type="data" outline="0" fieldPosition="0">
        <references count="1">
          <reference field="4294967294" count="1" selected="0">
            <x v="0"/>
          </reference>
        </references>
      </pivotArea>
    </chartFormat>
    <chartFormat chart="24" format="21">
      <pivotArea type="data" outline="0" fieldPosition="0">
        <references count="2">
          <reference field="4294967294" count="1" selected="0">
            <x v="0"/>
          </reference>
          <reference field="9" count="1" selected="0">
            <x v="1"/>
          </reference>
        </references>
      </pivotArea>
    </chartFormat>
    <chartFormat chart="24" format="22">
      <pivotArea type="data" outline="0" fieldPosition="0">
        <references count="2">
          <reference field="4294967294" count="1" selected="0">
            <x v="0"/>
          </reference>
          <reference field="9" count="1" selected="0">
            <x v="2"/>
          </reference>
        </references>
      </pivotArea>
    </chartFormat>
    <chartFormat chart="24" format="23">
      <pivotArea type="data" outline="0" fieldPosition="0">
        <references count="2">
          <reference field="4294967294" count="1" selected="0">
            <x v="0"/>
          </reference>
          <reference field="9" count="1" selected="0">
            <x v="3"/>
          </reference>
        </references>
      </pivotArea>
    </chartFormat>
    <chartFormat chart="24" format="24">
      <pivotArea type="data" outline="0" fieldPosition="0">
        <references count="2">
          <reference field="4294967294" count="1" selected="0">
            <x v="0"/>
          </reference>
          <reference field="9" count="1" selected="0">
            <x v="4"/>
          </reference>
        </references>
      </pivotArea>
    </chartFormat>
    <chartFormat chart="24" format="25">
      <pivotArea type="data" outline="0" fieldPosition="0">
        <references count="2">
          <reference field="4294967294" count="1" selected="0">
            <x v="0"/>
          </reference>
          <reference field="9" count="1" selected="0">
            <x v="5"/>
          </reference>
        </references>
      </pivotArea>
    </chartFormat>
    <chartFormat chart="24" format="26">
      <pivotArea type="data" outline="0" fieldPosition="0">
        <references count="2">
          <reference field="4294967294" count="1" selected="0">
            <x v="0"/>
          </reference>
          <reference field="9" count="1" selected="0">
            <x v="6"/>
          </reference>
        </references>
      </pivotArea>
    </chartFormat>
    <chartFormat chart="24" format="27">
      <pivotArea type="data" outline="0" fieldPosition="0">
        <references count="2">
          <reference field="4294967294" count="1" selected="0">
            <x v="0"/>
          </reference>
          <reference field="9" count="1" selected="0">
            <x v="7"/>
          </reference>
        </references>
      </pivotArea>
    </chartFormat>
    <chartFormat chart="24" format="28">
      <pivotArea type="data" outline="0" fieldPosition="0">
        <references count="2">
          <reference field="4294967294" count="1" selected="0">
            <x v="0"/>
          </reference>
          <reference field="9" count="1" selected="0">
            <x v="8"/>
          </reference>
        </references>
      </pivotArea>
    </chartFormat>
    <chartFormat chart="24" format="29">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A4" firstHeaderRow="1" firstDataRow="1" firstDataCol="0"/>
  <pivotFields count="10">
    <pivotField showAll="0"/>
    <pivotField showAll="0">
      <items count="4">
        <item x="1"/>
        <item x="0"/>
        <item x="2"/>
        <item t="default"/>
      </items>
    </pivotField>
    <pivotField showAll="0">
      <items count="5">
        <item x="3"/>
        <item x="0"/>
        <item x="1"/>
        <item x="2"/>
        <item t="default"/>
      </items>
    </pivotField>
    <pivotField numFmtId="1" showAll="0"/>
    <pivotField numFmtId="164" showAll="0"/>
    <pivotField dataField="1" numFmtId="164" showAll="0"/>
    <pivotField showAll="0">
      <items count="4">
        <item x="0"/>
        <item x="1"/>
        <item x="2"/>
        <item t="default"/>
      </items>
    </pivotField>
    <pivotField showAll="0" defaultSubtotal="0"/>
    <pivotField numFmtId="15" showAll="0" defaultSubtotal="0">
      <items count="44">
        <item x="38"/>
        <item x="31"/>
        <item x="3"/>
        <item x="40"/>
        <item x="4"/>
        <item x="20"/>
        <item x="18"/>
        <item x="8"/>
        <item x="29"/>
        <item x="34"/>
        <item x="36"/>
        <item x="2"/>
        <item x="32"/>
        <item x="23"/>
        <item x="39"/>
        <item x="9"/>
        <item x="11"/>
        <item x="28"/>
        <item x="14"/>
        <item x="24"/>
        <item x="10"/>
        <item x="42"/>
        <item x="41"/>
        <item x="15"/>
        <item x="16"/>
        <item x="13"/>
        <item x="5"/>
        <item x="35"/>
        <item x="6"/>
        <item x="43"/>
        <item x="25"/>
        <item x="37"/>
        <item x="7"/>
        <item x="33"/>
        <item x="30"/>
        <item x="0"/>
        <item x="22"/>
        <item x="27"/>
        <item x="12"/>
        <item x="1"/>
        <item x="17"/>
        <item x="19"/>
        <item x="21"/>
        <item x="26"/>
      </items>
    </pivotField>
    <pivotField showAll="0" defaultSubtotal="0">
      <items count="11">
        <item x="2"/>
        <item x="6"/>
        <item x="0"/>
        <item x="7"/>
        <item x="10"/>
        <item x="1"/>
        <item x="8"/>
        <item x="3"/>
        <item x="9"/>
        <item x="4"/>
        <item x="5"/>
      </items>
    </pivotField>
  </pivotFields>
  <rowItems count="1">
    <i/>
  </rowItems>
  <colItems count="1">
    <i/>
  </colItems>
  <dataFields count="1">
    <dataField name="Sum of Revenue" fld="5" baseField="0" baseItem="0" numFmtId="164"/>
  </dataFields>
  <formats count="2">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9:A10" firstHeaderRow="1" firstDataRow="1" firstDataCol="0"/>
  <pivotFields count="10">
    <pivotField showAll="0"/>
    <pivotField showAll="0">
      <items count="4">
        <item x="1"/>
        <item x="0"/>
        <item x="2"/>
        <item t="default"/>
      </items>
    </pivotField>
    <pivotField showAll="0">
      <items count="5">
        <item x="3"/>
        <item x="0"/>
        <item x="1"/>
        <item x="2"/>
        <item t="default"/>
      </items>
    </pivotField>
    <pivotField dataField="1" numFmtId="1" showAll="0"/>
    <pivotField numFmtId="164" showAll="0"/>
    <pivotField numFmtId="164" showAll="0"/>
    <pivotField showAll="0">
      <items count="4">
        <item x="0"/>
        <item x="1"/>
        <item x="2"/>
        <item t="default"/>
      </items>
    </pivotField>
    <pivotField showAll="0" defaultSubtotal="0"/>
    <pivotField numFmtId="15" showAll="0" defaultSubtotal="0">
      <items count="44">
        <item x="38"/>
        <item x="31"/>
        <item x="3"/>
        <item x="40"/>
        <item x="4"/>
        <item x="20"/>
        <item x="18"/>
        <item x="8"/>
        <item x="29"/>
        <item x="34"/>
        <item x="36"/>
        <item x="2"/>
        <item x="32"/>
        <item x="23"/>
        <item x="39"/>
        <item x="9"/>
        <item x="11"/>
        <item x="28"/>
        <item x="14"/>
        <item x="24"/>
        <item x="10"/>
        <item x="42"/>
        <item x="41"/>
        <item x="15"/>
        <item x="16"/>
        <item x="13"/>
        <item x="5"/>
        <item x="35"/>
        <item x="6"/>
        <item x="43"/>
        <item x="25"/>
        <item x="37"/>
        <item x="7"/>
        <item x="33"/>
        <item x="30"/>
        <item x="0"/>
        <item x="22"/>
        <item x="27"/>
        <item x="12"/>
        <item x="1"/>
        <item x="17"/>
        <item x="19"/>
        <item x="21"/>
        <item x="26"/>
      </items>
    </pivotField>
    <pivotField showAll="0" defaultSubtotal="0">
      <items count="11">
        <item x="2"/>
        <item x="6"/>
        <item x="0"/>
        <item x="7"/>
        <item x="10"/>
        <item x="1"/>
        <item x="8"/>
        <item x="3"/>
        <item x="9"/>
        <item x="4"/>
        <item x="5"/>
      </items>
    </pivotField>
  </pivotFields>
  <rowItems count="1">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000000-0013-0000-FFFF-FFFF01000000}" sourceName="Status">
  <pivotTables>
    <pivotTable tabId="4" name="PivotTable3"/>
    <pivotTable tabId="4" name="PivotTable1"/>
    <pivotTable tabId="4" name="PivotTable2"/>
    <pivotTable tabId="4" name="PivotTable4"/>
    <pivotTable tabId="4" name="PivotTable5"/>
    <pivotTable tabId="4" name="PivotTable8"/>
    <pivotTable tabId="4" name="PivotTable7"/>
    <pivotTable tabId="4" name="PivotTable6"/>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2000000}" sourceName="Product">
  <pivotTables>
    <pivotTable tabId="4" name="PivotTable3"/>
    <pivotTable tabId="4" name="PivotTable1"/>
    <pivotTable tabId="4" name="PivotTable2"/>
    <pivotTable tabId="4" name="PivotTable4"/>
    <pivotTable tabId="4" name="PivotTable5"/>
    <pivotTable tabId="4" name="PivotTable8"/>
    <pivotTable tabId="4" name="PivotTable7"/>
    <pivotTable tabId="4" name="PivotTable6"/>
  </pivotTables>
  <data>
    <tabular pivotCacheId="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0000000-0013-0000-FFFF-FFFF03000000}" sourceName="Branch">
  <pivotTables>
    <pivotTable tabId="4" name="PivotTable3"/>
    <pivotTable tabId="4" name="PivotTable1"/>
    <pivotTable tabId="4" name="PivotTable2"/>
    <pivotTable tabId="4" name="PivotTable4"/>
    <pivotTable tabId="4" name="PivotTable5"/>
    <pivotTable tabId="4" name="PivotTable8"/>
    <pivotTable tabId="4" name="PivotTable7"/>
    <pivotTable tabId="4" name="PivotTable6"/>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00000000-0014-0000-FFFF-FFFF01000000}" cache="Slicer_Status" caption="Status" rowHeight="241300"/>
  <slicer name="Product 1" xr10:uid="{00000000-0014-0000-FFFF-FFFF02000000}" cache="Slicer_Product" caption="Product" rowHeight="241300"/>
  <slicer name="Branch 1" xr10:uid="{00000000-0014-0000-FFFF-FFFF03000000}" cache="Slicer_Branch" caption="Branc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J101" totalsRowShown="0">
  <autoFilter ref="A1:J101" xr:uid="{00000000-0009-0000-0100-000002000000}"/>
  <tableColumns count="10">
    <tableColumn id="1" xr3:uid="{00000000-0010-0000-0000-000001000000}" name="Date" dataDxfId="31"/>
    <tableColumn id="2" xr3:uid="{00000000-0010-0000-0000-000002000000}" name="Branch"/>
    <tableColumn id="3" xr3:uid="{00000000-0010-0000-0000-000003000000}" name="Product"/>
    <tableColumn id="4" xr3:uid="{00000000-0010-0000-0000-000004000000}" name="Quantity" dataDxfId="30"/>
    <tableColumn id="5" xr3:uid="{00000000-0010-0000-0000-000005000000}" name="Price" dataDxfId="29"/>
    <tableColumn id="6" xr3:uid="{00000000-0010-0000-0000-000006000000}" name="Revenue" dataDxfId="28"/>
    <tableColumn id="7" xr3:uid="{00000000-0010-0000-0000-000007000000}" name="Status"/>
    <tableColumn id="8" xr3:uid="{00000000-0010-0000-0000-000008000000}" name="Month" dataDxfId="27">
      <calculatedColumnFormula>TEXT(A2,"mmmm")</calculatedColumnFormula>
    </tableColumn>
    <tableColumn id="9" xr3:uid="{00000000-0010-0000-0000-000009000000}" name="Date2" dataDxfId="26">
      <calculatedColumnFormula>DATE(RIGHT(A2,4),MID(A2,4,2),LEFT(A2,2))</calculatedColumnFormula>
    </tableColumn>
    <tableColumn id="10" xr3:uid="{00000000-0010-0000-0000-00000A000000}" name="Months" dataDxfId="25">
      <calculatedColumnFormula>TEXT(I2,"mmm")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00000000-0013-0000-FFFF-FFFF04000000}" sourceName="Date2">
  <pivotTables>
    <pivotTable tabId="4" name="PivotTable7"/>
    <pivotTable tabId="4" name="PivotTable1"/>
    <pivotTable tabId="4" name="PivotTable2"/>
    <pivotTable tabId="4" name="PivotTable3"/>
    <pivotTable tabId="4" name="PivotTable4"/>
    <pivotTable tabId="4" name="PivotTable5"/>
    <pivotTable tabId="4" name="PivotTable8"/>
    <pivotTable tabId="4" name="PivotTable6"/>
  </pivotTables>
  <state minimalRefreshVersion="6" lastRefreshVersion="6" pivotCacheId="1" filterType="unknown">
    <bounds startDate="2024-01-01T00:00:00" endDate="56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2" xr10:uid="{00000000-0014-0000-FFFF-FFFF04000000}" cache="NativeTimeline_Date2" caption="Months" level="2" selectionLevel="2" scrollPosition="5603-12-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workbookViewId="0">
      <selection activeCell="N11" sqref="N11"/>
    </sheetView>
  </sheetViews>
  <sheetFormatPr defaultRowHeight="14.5" x14ac:dyDescent="0.35"/>
  <cols>
    <col min="1" max="1" width="10.7265625" style="17" bestFit="1" customWidth="1"/>
  </cols>
  <sheetData>
    <row r="1" spans="1:7" x14ac:dyDescent="0.35">
      <c r="A1" s="17" t="s">
        <v>0</v>
      </c>
      <c r="B1" t="s">
        <v>1</v>
      </c>
      <c r="C1" t="s">
        <v>2</v>
      </c>
      <c r="D1" t="s">
        <v>3</v>
      </c>
      <c r="E1" t="s">
        <v>4</v>
      </c>
      <c r="F1" t="s">
        <v>5</v>
      </c>
      <c r="G1" t="s">
        <v>6</v>
      </c>
    </row>
    <row r="2" spans="1:7" x14ac:dyDescent="0.35">
      <c r="A2" s="17" t="s">
        <v>7</v>
      </c>
      <c r="B2" t="s">
        <v>8</v>
      </c>
      <c r="C2" t="s">
        <v>9</v>
      </c>
      <c r="D2">
        <v>11</v>
      </c>
      <c r="E2">
        <v>1807</v>
      </c>
      <c r="F2">
        <v>19877</v>
      </c>
      <c r="G2" t="s">
        <v>10</v>
      </c>
    </row>
    <row r="3" spans="1:7" x14ac:dyDescent="0.35">
      <c r="A3" s="17" t="s">
        <v>11</v>
      </c>
      <c r="B3" t="s">
        <v>12</v>
      </c>
      <c r="C3" t="s">
        <v>13</v>
      </c>
      <c r="D3">
        <v>11</v>
      </c>
      <c r="E3">
        <v>1228</v>
      </c>
      <c r="F3">
        <v>13508</v>
      </c>
      <c r="G3" t="s">
        <v>14</v>
      </c>
    </row>
    <row r="4" spans="1:7" x14ac:dyDescent="0.35">
      <c r="A4" s="17" t="s">
        <v>15</v>
      </c>
      <c r="B4" t="s">
        <v>8</v>
      </c>
      <c r="C4" t="s">
        <v>13</v>
      </c>
      <c r="D4">
        <v>15</v>
      </c>
      <c r="E4">
        <v>706</v>
      </c>
      <c r="F4">
        <v>10590</v>
      </c>
      <c r="G4" t="s">
        <v>16</v>
      </c>
    </row>
    <row r="5" spans="1:7" x14ac:dyDescent="0.35">
      <c r="A5" s="17" t="s">
        <v>17</v>
      </c>
      <c r="B5" t="s">
        <v>8</v>
      </c>
      <c r="C5" t="s">
        <v>13</v>
      </c>
      <c r="D5">
        <v>19</v>
      </c>
      <c r="E5">
        <v>1145</v>
      </c>
      <c r="F5">
        <v>21755</v>
      </c>
      <c r="G5" t="s">
        <v>16</v>
      </c>
    </row>
    <row r="6" spans="1:7" x14ac:dyDescent="0.35">
      <c r="A6" s="17" t="s">
        <v>18</v>
      </c>
      <c r="B6" t="s">
        <v>8</v>
      </c>
      <c r="C6" t="s">
        <v>9</v>
      </c>
      <c r="D6">
        <v>11</v>
      </c>
      <c r="E6">
        <v>213</v>
      </c>
      <c r="F6">
        <v>2343</v>
      </c>
      <c r="G6" t="s">
        <v>16</v>
      </c>
    </row>
    <row r="7" spans="1:7" x14ac:dyDescent="0.35">
      <c r="A7" s="17" t="s">
        <v>19</v>
      </c>
      <c r="B7" t="s">
        <v>12</v>
      </c>
      <c r="C7" t="s">
        <v>9</v>
      </c>
      <c r="D7">
        <v>5</v>
      </c>
      <c r="E7">
        <v>1147</v>
      </c>
      <c r="F7">
        <v>5735</v>
      </c>
      <c r="G7" t="s">
        <v>10</v>
      </c>
    </row>
    <row r="8" spans="1:7" x14ac:dyDescent="0.35">
      <c r="A8" s="17" t="s">
        <v>20</v>
      </c>
      <c r="B8" t="s">
        <v>21</v>
      </c>
      <c r="C8" t="s">
        <v>22</v>
      </c>
      <c r="D8">
        <v>1</v>
      </c>
      <c r="E8">
        <v>665</v>
      </c>
      <c r="F8">
        <v>665</v>
      </c>
      <c r="G8" t="s">
        <v>10</v>
      </c>
    </row>
    <row r="9" spans="1:7" x14ac:dyDescent="0.35">
      <c r="A9" s="17" t="s">
        <v>18</v>
      </c>
      <c r="B9" t="s">
        <v>12</v>
      </c>
      <c r="C9" t="s">
        <v>22</v>
      </c>
      <c r="D9">
        <v>18</v>
      </c>
      <c r="E9">
        <v>352</v>
      </c>
      <c r="F9">
        <v>6336</v>
      </c>
      <c r="G9" t="s">
        <v>16</v>
      </c>
    </row>
    <row r="10" spans="1:7" x14ac:dyDescent="0.35">
      <c r="A10" s="17" t="s">
        <v>23</v>
      </c>
      <c r="B10" t="s">
        <v>12</v>
      </c>
      <c r="C10" t="s">
        <v>9</v>
      </c>
      <c r="D10">
        <v>6</v>
      </c>
      <c r="E10">
        <v>1038</v>
      </c>
      <c r="F10">
        <v>6228</v>
      </c>
      <c r="G10" t="s">
        <v>16</v>
      </c>
    </row>
    <row r="11" spans="1:7" x14ac:dyDescent="0.35">
      <c r="A11" s="17" t="s">
        <v>24</v>
      </c>
      <c r="B11" t="s">
        <v>21</v>
      </c>
      <c r="C11" t="s">
        <v>25</v>
      </c>
      <c r="D11">
        <v>17</v>
      </c>
      <c r="E11">
        <v>202</v>
      </c>
      <c r="F11">
        <v>3434</v>
      </c>
      <c r="G11" t="s">
        <v>16</v>
      </c>
    </row>
    <row r="12" spans="1:7" x14ac:dyDescent="0.35">
      <c r="A12" s="17" t="s">
        <v>26</v>
      </c>
      <c r="B12" t="s">
        <v>21</v>
      </c>
      <c r="C12" t="s">
        <v>13</v>
      </c>
      <c r="D12">
        <v>19</v>
      </c>
      <c r="E12">
        <v>1310</v>
      </c>
      <c r="F12">
        <v>24890</v>
      </c>
      <c r="G12" t="s">
        <v>14</v>
      </c>
    </row>
    <row r="13" spans="1:7" x14ac:dyDescent="0.35">
      <c r="A13" s="17" t="s">
        <v>27</v>
      </c>
      <c r="B13" t="s">
        <v>21</v>
      </c>
      <c r="C13" t="s">
        <v>13</v>
      </c>
      <c r="D13">
        <v>12</v>
      </c>
      <c r="E13">
        <v>1056</v>
      </c>
      <c r="F13">
        <v>12672</v>
      </c>
      <c r="G13" t="s">
        <v>10</v>
      </c>
    </row>
    <row r="14" spans="1:7" x14ac:dyDescent="0.35">
      <c r="A14" s="17" t="s">
        <v>28</v>
      </c>
      <c r="B14" t="s">
        <v>8</v>
      </c>
      <c r="C14" t="s">
        <v>22</v>
      </c>
      <c r="D14">
        <v>1</v>
      </c>
      <c r="E14">
        <v>345</v>
      </c>
      <c r="F14">
        <v>345</v>
      </c>
      <c r="G14" t="s">
        <v>14</v>
      </c>
    </row>
    <row r="15" spans="1:7" x14ac:dyDescent="0.35">
      <c r="A15" s="17" t="s">
        <v>29</v>
      </c>
      <c r="B15" t="s">
        <v>12</v>
      </c>
      <c r="C15" t="s">
        <v>25</v>
      </c>
      <c r="D15">
        <v>17</v>
      </c>
      <c r="E15">
        <v>1469</v>
      </c>
      <c r="F15">
        <v>24973</v>
      </c>
      <c r="G15" t="s">
        <v>10</v>
      </c>
    </row>
    <row r="16" spans="1:7" x14ac:dyDescent="0.35">
      <c r="A16" s="17" t="s">
        <v>24</v>
      </c>
      <c r="B16" t="s">
        <v>21</v>
      </c>
      <c r="C16" t="s">
        <v>22</v>
      </c>
      <c r="D16">
        <v>10</v>
      </c>
      <c r="E16">
        <v>1580</v>
      </c>
      <c r="F16">
        <v>15800</v>
      </c>
      <c r="G16" t="s">
        <v>16</v>
      </c>
    </row>
    <row r="17" spans="1:7" x14ac:dyDescent="0.35">
      <c r="A17" s="17" t="s">
        <v>30</v>
      </c>
      <c r="B17" t="s">
        <v>21</v>
      </c>
      <c r="C17" t="s">
        <v>22</v>
      </c>
      <c r="D17">
        <v>15</v>
      </c>
      <c r="E17">
        <v>1157</v>
      </c>
      <c r="F17">
        <v>17355</v>
      </c>
      <c r="G17" t="s">
        <v>16</v>
      </c>
    </row>
    <row r="18" spans="1:7" x14ac:dyDescent="0.35">
      <c r="A18" s="17" t="s">
        <v>31</v>
      </c>
      <c r="B18" t="s">
        <v>12</v>
      </c>
      <c r="C18" t="s">
        <v>25</v>
      </c>
      <c r="D18">
        <v>6</v>
      </c>
      <c r="E18">
        <v>1726</v>
      </c>
      <c r="F18">
        <v>10356</v>
      </c>
      <c r="G18" t="s">
        <v>14</v>
      </c>
    </row>
    <row r="19" spans="1:7" x14ac:dyDescent="0.35">
      <c r="A19" s="17" t="s">
        <v>32</v>
      </c>
      <c r="B19" t="s">
        <v>21</v>
      </c>
      <c r="C19" t="s">
        <v>13</v>
      </c>
      <c r="D19">
        <v>17</v>
      </c>
      <c r="E19">
        <v>1792</v>
      </c>
      <c r="F19">
        <v>30464</v>
      </c>
      <c r="G19" t="s">
        <v>10</v>
      </c>
    </row>
    <row r="20" spans="1:7" x14ac:dyDescent="0.35">
      <c r="A20" s="17" t="s">
        <v>33</v>
      </c>
      <c r="B20" t="s">
        <v>21</v>
      </c>
      <c r="C20" t="s">
        <v>25</v>
      </c>
      <c r="D20">
        <v>7</v>
      </c>
      <c r="E20">
        <v>1165</v>
      </c>
      <c r="F20">
        <v>8155</v>
      </c>
      <c r="G20" t="s">
        <v>14</v>
      </c>
    </row>
    <row r="21" spans="1:7" x14ac:dyDescent="0.35">
      <c r="A21" s="17" t="s">
        <v>29</v>
      </c>
      <c r="B21" t="s">
        <v>12</v>
      </c>
      <c r="C21" t="s">
        <v>22</v>
      </c>
      <c r="D21">
        <v>12</v>
      </c>
      <c r="E21">
        <v>1355</v>
      </c>
      <c r="F21">
        <v>16260</v>
      </c>
      <c r="G21" t="s">
        <v>10</v>
      </c>
    </row>
    <row r="22" spans="1:7" x14ac:dyDescent="0.35">
      <c r="A22" s="17" t="s">
        <v>34</v>
      </c>
      <c r="B22" t="s">
        <v>21</v>
      </c>
      <c r="C22" t="s">
        <v>22</v>
      </c>
      <c r="D22">
        <v>14</v>
      </c>
      <c r="E22">
        <v>487</v>
      </c>
      <c r="F22">
        <v>6818</v>
      </c>
      <c r="G22" t="s">
        <v>14</v>
      </c>
    </row>
    <row r="23" spans="1:7" x14ac:dyDescent="0.35">
      <c r="A23" s="17" t="s">
        <v>35</v>
      </c>
      <c r="B23" t="s">
        <v>21</v>
      </c>
      <c r="C23" t="s">
        <v>22</v>
      </c>
      <c r="D23">
        <v>15</v>
      </c>
      <c r="E23">
        <v>383</v>
      </c>
      <c r="F23">
        <v>5745</v>
      </c>
      <c r="G23" t="s">
        <v>10</v>
      </c>
    </row>
    <row r="24" spans="1:7" x14ac:dyDescent="0.35">
      <c r="A24" s="17" t="s">
        <v>36</v>
      </c>
      <c r="B24" t="s">
        <v>8</v>
      </c>
      <c r="C24" t="s">
        <v>25</v>
      </c>
      <c r="D24">
        <v>12</v>
      </c>
      <c r="E24">
        <v>1525</v>
      </c>
      <c r="F24">
        <v>18300</v>
      </c>
      <c r="G24" t="s">
        <v>14</v>
      </c>
    </row>
    <row r="25" spans="1:7" x14ac:dyDescent="0.35">
      <c r="A25" s="17" t="s">
        <v>37</v>
      </c>
      <c r="B25" t="s">
        <v>21</v>
      </c>
      <c r="C25" t="s">
        <v>25</v>
      </c>
      <c r="D25">
        <v>16</v>
      </c>
      <c r="E25">
        <v>1163</v>
      </c>
      <c r="F25">
        <v>18608</v>
      </c>
      <c r="G25" t="s">
        <v>14</v>
      </c>
    </row>
    <row r="26" spans="1:7" x14ac:dyDescent="0.35">
      <c r="A26" s="17" t="s">
        <v>38</v>
      </c>
      <c r="B26" t="s">
        <v>21</v>
      </c>
      <c r="C26" t="s">
        <v>22</v>
      </c>
      <c r="D26">
        <v>12</v>
      </c>
      <c r="E26">
        <v>523</v>
      </c>
      <c r="F26">
        <v>6276</v>
      </c>
      <c r="G26" t="s">
        <v>14</v>
      </c>
    </row>
    <row r="27" spans="1:7" x14ac:dyDescent="0.35">
      <c r="A27" s="17" t="s">
        <v>11</v>
      </c>
      <c r="B27" t="s">
        <v>8</v>
      </c>
      <c r="C27" t="s">
        <v>22</v>
      </c>
      <c r="D27">
        <v>16</v>
      </c>
      <c r="E27">
        <v>585</v>
      </c>
      <c r="F27">
        <v>9360</v>
      </c>
      <c r="G27" t="s">
        <v>14</v>
      </c>
    </row>
    <row r="28" spans="1:7" x14ac:dyDescent="0.35">
      <c r="A28" s="17" t="s">
        <v>39</v>
      </c>
      <c r="B28" t="s">
        <v>21</v>
      </c>
      <c r="C28" t="s">
        <v>25</v>
      </c>
      <c r="D28">
        <v>6</v>
      </c>
      <c r="E28">
        <v>1933</v>
      </c>
      <c r="F28">
        <v>11598</v>
      </c>
      <c r="G28" t="s">
        <v>14</v>
      </c>
    </row>
    <row r="29" spans="1:7" x14ac:dyDescent="0.35">
      <c r="A29" s="17" t="s">
        <v>40</v>
      </c>
      <c r="B29" t="s">
        <v>12</v>
      </c>
      <c r="C29" t="s">
        <v>22</v>
      </c>
      <c r="D29">
        <v>16</v>
      </c>
      <c r="E29">
        <v>575</v>
      </c>
      <c r="F29">
        <v>9200</v>
      </c>
      <c r="G29" t="s">
        <v>14</v>
      </c>
    </row>
    <row r="30" spans="1:7" x14ac:dyDescent="0.35">
      <c r="A30" s="17" t="s">
        <v>32</v>
      </c>
      <c r="B30" t="s">
        <v>8</v>
      </c>
      <c r="C30" t="s">
        <v>25</v>
      </c>
      <c r="D30">
        <v>15</v>
      </c>
      <c r="E30">
        <v>1621</v>
      </c>
      <c r="F30">
        <v>24315</v>
      </c>
      <c r="G30" t="s">
        <v>10</v>
      </c>
    </row>
    <row r="31" spans="1:7" x14ac:dyDescent="0.35">
      <c r="A31" s="17" t="s">
        <v>41</v>
      </c>
      <c r="B31" t="s">
        <v>12</v>
      </c>
      <c r="C31" t="s">
        <v>9</v>
      </c>
      <c r="D31">
        <v>16</v>
      </c>
      <c r="E31">
        <v>1278</v>
      </c>
      <c r="F31">
        <v>20448</v>
      </c>
      <c r="G31" t="s">
        <v>10</v>
      </c>
    </row>
    <row r="32" spans="1:7" x14ac:dyDescent="0.35">
      <c r="A32" s="17" t="s">
        <v>24</v>
      </c>
      <c r="B32" t="s">
        <v>12</v>
      </c>
      <c r="C32" t="s">
        <v>25</v>
      </c>
      <c r="D32">
        <v>11</v>
      </c>
      <c r="E32">
        <v>1833</v>
      </c>
      <c r="F32">
        <v>20163</v>
      </c>
      <c r="G32" t="s">
        <v>16</v>
      </c>
    </row>
    <row r="33" spans="1:7" x14ac:dyDescent="0.35">
      <c r="A33" s="17" t="s">
        <v>35</v>
      </c>
      <c r="B33" t="s">
        <v>12</v>
      </c>
      <c r="C33" t="s">
        <v>9</v>
      </c>
      <c r="D33">
        <v>2</v>
      </c>
      <c r="E33">
        <v>1294</v>
      </c>
      <c r="F33">
        <v>2588</v>
      </c>
      <c r="G33" t="s">
        <v>16</v>
      </c>
    </row>
    <row r="34" spans="1:7" x14ac:dyDescent="0.35">
      <c r="A34" s="17" t="s">
        <v>42</v>
      </c>
      <c r="B34" t="s">
        <v>21</v>
      </c>
      <c r="C34" t="s">
        <v>13</v>
      </c>
      <c r="D34">
        <v>4</v>
      </c>
      <c r="E34">
        <v>458</v>
      </c>
      <c r="F34">
        <v>1832</v>
      </c>
      <c r="G34" t="s">
        <v>14</v>
      </c>
    </row>
    <row r="35" spans="1:7" x14ac:dyDescent="0.35">
      <c r="A35" s="17" t="s">
        <v>43</v>
      </c>
      <c r="B35" t="s">
        <v>8</v>
      </c>
      <c r="C35" t="s">
        <v>25</v>
      </c>
      <c r="D35">
        <v>15</v>
      </c>
      <c r="E35">
        <v>1354</v>
      </c>
      <c r="F35">
        <v>20310</v>
      </c>
      <c r="G35" t="s">
        <v>10</v>
      </c>
    </row>
    <row r="36" spans="1:7" x14ac:dyDescent="0.35">
      <c r="A36" s="17" t="s">
        <v>41</v>
      </c>
      <c r="B36" t="s">
        <v>8</v>
      </c>
      <c r="C36" t="s">
        <v>9</v>
      </c>
      <c r="D36">
        <v>11</v>
      </c>
      <c r="E36">
        <v>1486</v>
      </c>
      <c r="F36">
        <v>16346</v>
      </c>
      <c r="G36" t="s">
        <v>14</v>
      </c>
    </row>
    <row r="37" spans="1:7" x14ac:dyDescent="0.35">
      <c r="A37" s="17" t="s">
        <v>17</v>
      </c>
      <c r="B37" t="s">
        <v>21</v>
      </c>
      <c r="C37" t="s">
        <v>9</v>
      </c>
      <c r="D37">
        <v>13</v>
      </c>
      <c r="E37">
        <v>1128</v>
      </c>
      <c r="F37">
        <v>14664</v>
      </c>
      <c r="G37" t="s">
        <v>10</v>
      </c>
    </row>
    <row r="38" spans="1:7" x14ac:dyDescent="0.35">
      <c r="A38" s="17" t="s">
        <v>27</v>
      </c>
      <c r="B38" t="s">
        <v>8</v>
      </c>
      <c r="C38" t="s">
        <v>13</v>
      </c>
      <c r="D38">
        <v>9</v>
      </c>
      <c r="E38">
        <v>518</v>
      </c>
      <c r="F38">
        <v>4662</v>
      </c>
      <c r="G38" t="s">
        <v>16</v>
      </c>
    </row>
    <row r="39" spans="1:7" x14ac:dyDescent="0.35">
      <c r="A39" s="17" t="s">
        <v>38</v>
      </c>
      <c r="B39" t="s">
        <v>12</v>
      </c>
      <c r="C39" t="s">
        <v>9</v>
      </c>
      <c r="D39">
        <v>2</v>
      </c>
      <c r="E39">
        <v>1241</v>
      </c>
      <c r="F39">
        <v>2482</v>
      </c>
      <c r="G39" t="s">
        <v>14</v>
      </c>
    </row>
    <row r="40" spans="1:7" x14ac:dyDescent="0.35">
      <c r="A40" s="17" t="s">
        <v>44</v>
      </c>
      <c r="B40" t="s">
        <v>21</v>
      </c>
      <c r="C40" t="s">
        <v>25</v>
      </c>
      <c r="D40">
        <v>20</v>
      </c>
      <c r="E40">
        <v>1286</v>
      </c>
      <c r="F40">
        <v>25720</v>
      </c>
      <c r="G40" t="s">
        <v>10</v>
      </c>
    </row>
    <row r="41" spans="1:7" x14ac:dyDescent="0.35">
      <c r="A41" s="17" t="s">
        <v>37</v>
      </c>
      <c r="B41" t="s">
        <v>8</v>
      </c>
      <c r="C41" t="s">
        <v>25</v>
      </c>
      <c r="D41">
        <v>8</v>
      </c>
      <c r="E41">
        <v>1088</v>
      </c>
      <c r="F41">
        <v>8704</v>
      </c>
      <c r="G41" t="s">
        <v>10</v>
      </c>
    </row>
    <row r="42" spans="1:7" x14ac:dyDescent="0.35">
      <c r="A42" s="17" t="s">
        <v>45</v>
      </c>
      <c r="B42" t="s">
        <v>12</v>
      </c>
      <c r="C42" t="s">
        <v>25</v>
      </c>
      <c r="D42">
        <v>8</v>
      </c>
      <c r="E42">
        <v>1969</v>
      </c>
      <c r="F42">
        <v>15752</v>
      </c>
      <c r="G42" t="s">
        <v>16</v>
      </c>
    </row>
    <row r="43" spans="1:7" x14ac:dyDescent="0.35">
      <c r="A43" s="17" t="s">
        <v>29</v>
      </c>
      <c r="B43" t="s">
        <v>12</v>
      </c>
      <c r="C43" t="s">
        <v>9</v>
      </c>
      <c r="D43">
        <v>15</v>
      </c>
      <c r="E43">
        <v>1090</v>
      </c>
      <c r="F43">
        <v>16350</v>
      </c>
      <c r="G43" t="s">
        <v>16</v>
      </c>
    </row>
    <row r="44" spans="1:7" x14ac:dyDescent="0.35">
      <c r="A44" s="17" t="s">
        <v>46</v>
      </c>
      <c r="B44" t="s">
        <v>12</v>
      </c>
      <c r="C44" t="s">
        <v>9</v>
      </c>
      <c r="D44">
        <v>17</v>
      </c>
      <c r="E44">
        <v>1053</v>
      </c>
      <c r="F44">
        <v>17901</v>
      </c>
      <c r="G44" t="s">
        <v>10</v>
      </c>
    </row>
    <row r="45" spans="1:7" x14ac:dyDescent="0.35">
      <c r="A45" s="17" t="s">
        <v>27</v>
      </c>
      <c r="B45" t="s">
        <v>12</v>
      </c>
      <c r="C45" t="s">
        <v>25</v>
      </c>
      <c r="D45">
        <v>2</v>
      </c>
      <c r="E45">
        <v>612</v>
      </c>
      <c r="F45">
        <v>1224</v>
      </c>
      <c r="G45" t="s">
        <v>10</v>
      </c>
    </row>
    <row r="46" spans="1:7" x14ac:dyDescent="0.35">
      <c r="A46" s="17" t="s">
        <v>42</v>
      </c>
      <c r="B46" t="s">
        <v>21</v>
      </c>
      <c r="C46" t="s">
        <v>25</v>
      </c>
      <c r="D46">
        <v>3</v>
      </c>
      <c r="E46">
        <v>341</v>
      </c>
      <c r="F46">
        <v>1023</v>
      </c>
      <c r="G46" t="s">
        <v>14</v>
      </c>
    </row>
    <row r="47" spans="1:7" x14ac:dyDescent="0.35">
      <c r="A47" s="17" t="s">
        <v>7</v>
      </c>
      <c r="B47" t="s">
        <v>21</v>
      </c>
      <c r="C47" t="s">
        <v>13</v>
      </c>
      <c r="D47">
        <v>17</v>
      </c>
      <c r="E47">
        <v>933</v>
      </c>
      <c r="F47">
        <v>15861</v>
      </c>
      <c r="G47" t="s">
        <v>14</v>
      </c>
    </row>
    <row r="48" spans="1:7" x14ac:dyDescent="0.35">
      <c r="A48" s="17" t="s">
        <v>47</v>
      </c>
      <c r="B48" t="s">
        <v>21</v>
      </c>
      <c r="C48" t="s">
        <v>9</v>
      </c>
      <c r="D48">
        <v>8</v>
      </c>
      <c r="E48">
        <v>1726</v>
      </c>
      <c r="F48">
        <v>13808</v>
      </c>
      <c r="G48" t="s">
        <v>14</v>
      </c>
    </row>
    <row r="49" spans="1:7" x14ac:dyDescent="0.35">
      <c r="A49" s="17" t="s">
        <v>48</v>
      </c>
      <c r="B49" t="s">
        <v>21</v>
      </c>
      <c r="C49" t="s">
        <v>22</v>
      </c>
      <c r="D49">
        <v>16</v>
      </c>
      <c r="E49">
        <v>1651</v>
      </c>
      <c r="F49">
        <v>26416</v>
      </c>
      <c r="G49" t="s">
        <v>10</v>
      </c>
    </row>
    <row r="50" spans="1:7" x14ac:dyDescent="0.35">
      <c r="A50" s="17" t="s">
        <v>40</v>
      </c>
      <c r="B50" t="s">
        <v>8</v>
      </c>
      <c r="C50" t="s">
        <v>9</v>
      </c>
      <c r="D50">
        <v>14</v>
      </c>
      <c r="E50">
        <v>1919</v>
      </c>
      <c r="F50">
        <v>26866</v>
      </c>
      <c r="G50" t="s">
        <v>16</v>
      </c>
    </row>
    <row r="51" spans="1:7" x14ac:dyDescent="0.35">
      <c r="A51" s="17" t="s">
        <v>49</v>
      </c>
      <c r="B51" t="s">
        <v>21</v>
      </c>
      <c r="C51" t="s">
        <v>13</v>
      </c>
      <c r="D51">
        <v>4</v>
      </c>
      <c r="E51">
        <v>605</v>
      </c>
      <c r="F51">
        <v>2420</v>
      </c>
      <c r="G51" t="s">
        <v>10</v>
      </c>
    </row>
    <row r="52" spans="1:7" x14ac:dyDescent="0.35">
      <c r="A52" s="17" t="s">
        <v>50</v>
      </c>
      <c r="B52" t="s">
        <v>12</v>
      </c>
      <c r="C52" t="s">
        <v>9</v>
      </c>
      <c r="D52">
        <v>18</v>
      </c>
      <c r="E52">
        <v>539</v>
      </c>
      <c r="F52">
        <v>9702</v>
      </c>
      <c r="G52" t="s">
        <v>10</v>
      </c>
    </row>
    <row r="53" spans="1:7" x14ac:dyDescent="0.35">
      <c r="A53" s="17" t="s">
        <v>39</v>
      </c>
      <c r="B53" t="s">
        <v>21</v>
      </c>
      <c r="C53" t="s">
        <v>22</v>
      </c>
      <c r="D53">
        <v>20</v>
      </c>
      <c r="E53">
        <v>668</v>
      </c>
      <c r="F53">
        <v>13360</v>
      </c>
      <c r="G53" t="s">
        <v>16</v>
      </c>
    </row>
    <row r="54" spans="1:7" x14ac:dyDescent="0.35">
      <c r="A54" s="17" t="s">
        <v>51</v>
      </c>
      <c r="B54" t="s">
        <v>12</v>
      </c>
      <c r="C54" t="s">
        <v>25</v>
      </c>
      <c r="D54">
        <v>17</v>
      </c>
      <c r="E54">
        <v>768</v>
      </c>
      <c r="F54">
        <v>13056</v>
      </c>
      <c r="G54" t="s">
        <v>16</v>
      </c>
    </row>
    <row r="55" spans="1:7" x14ac:dyDescent="0.35">
      <c r="A55" s="17" t="s">
        <v>30</v>
      </c>
      <c r="B55" t="s">
        <v>8</v>
      </c>
      <c r="C55" t="s">
        <v>13</v>
      </c>
      <c r="D55">
        <v>16</v>
      </c>
      <c r="E55">
        <v>827</v>
      </c>
      <c r="F55">
        <v>13232</v>
      </c>
      <c r="G55" t="s">
        <v>14</v>
      </c>
    </row>
    <row r="56" spans="1:7" x14ac:dyDescent="0.35">
      <c r="A56" s="17" t="s">
        <v>18</v>
      </c>
      <c r="B56" t="s">
        <v>8</v>
      </c>
      <c r="C56" t="s">
        <v>25</v>
      </c>
      <c r="D56">
        <v>6</v>
      </c>
      <c r="E56">
        <v>290</v>
      </c>
      <c r="F56">
        <v>1740</v>
      </c>
      <c r="G56" t="s">
        <v>14</v>
      </c>
    </row>
    <row r="57" spans="1:7" x14ac:dyDescent="0.35">
      <c r="A57" s="17" t="s">
        <v>52</v>
      </c>
      <c r="B57" t="s">
        <v>8</v>
      </c>
      <c r="C57" t="s">
        <v>25</v>
      </c>
      <c r="D57">
        <v>6</v>
      </c>
      <c r="E57">
        <v>223</v>
      </c>
      <c r="F57">
        <v>1338</v>
      </c>
      <c r="G57" t="s">
        <v>10</v>
      </c>
    </row>
    <row r="58" spans="1:7" x14ac:dyDescent="0.35">
      <c r="A58" s="17" t="s">
        <v>38</v>
      </c>
      <c r="B58" t="s">
        <v>8</v>
      </c>
      <c r="C58" t="s">
        <v>22</v>
      </c>
      <c r="D58">
        <v>13</v>
      </c>
      <c r="E58">
        <v>1440</v>
      </c>
      <c r="F58">
        <v>18720</v>
      </c>
      <c r="G58" t="s">
        <v>14</v>
      </c>
    </row>
    <row r="59" spans="1:7" x14ac:dyDescent="0.35">
      <c r="A59" s="17" t="s">
        <v>31</v>
      </c>
      <c r="B59" t="s">
        <v>12</v>
      </c>
      <c r="C59" t="s">
        <v>13</v>
      </c>
      <c r="D59">
        <v>9</v>
      </c>
      <c r="E59">
        <v>570</v>
      </c>
      <c r="F59">
        <v>5130</v>
      </c>
      <c r="G59" t="s">
        <v>10</v>
      </c>
    </row>
    <row r="60" spans="1:7" x14ac:dyDescent="0.35">
      <c r="A60" s="17" t="s">
        <v>17</v>
      </c>
      <c r="B60" t="s">
        <v>8</v>
      </c>
      <c r="C60" t="s">
        <v>9</v>
      </c>
      <c r="D60">
        <v>6</v>
      </c>
      <c r="E60">
        <v>1682</v>
      </c>
      <c r="F60">
        <v>10092</v>
      </c>
      <c r="G60" t="s">
        <v>14</v>
      </c>
    </row>
    <row r="61" spans="1:7" x14ac:dyDescent="0.35">
      <c r="A61" s="17" t="s">
        <v>45</v>
      </c>
      <c r="B61" t="s">
        <v>21</v>
      </c>
      <c r="C61" t="s">
        <v>25</v>
      </c>
      <c r="D61">
        <v>17</v>
      </c>
      <c r="E61">
        <v>1553</v>
      </c>
      <c r="F61">
        <v>26401</v>
      </c>
      <c r="G61" t="s">
        <v>10</v>
      </c>
    </row>
    <row r="62" spans="1:7" x14ac:dyDescent="0.35">
      <c r="A62" s="17" t="s">
        <v>19</v>
      </c>
      <c r="B62" t="s">
        <v>12</v>
      </c>
      <c r="C62" t="s">
        <v>13</v>
      </c>
      <c r="D62">
        <v>19</v>
      </c>
      <c r="E62">
        <v>917</v>
      </c>
      <c r="F62">
        <v>17423</v>
      </c>
      <c r="G62" t="s">
        <v>14</v>
      </c>
    </row>
    <row r="63" spans="1:7" x14ac:dyDescent="0.35">
      <c r="A63" s="17" t="s">
        <v>53</v>
      </c>
      <c r="B63" t="s">
        <v>21</v>
      </c>
      <c r="C63" t="s">
        <v>25</v>
      </c>
      <c r="D63">
        <v>9</v>
      </c>
      <c r="E63">
        <v>605</v>
      </c>
      <c r="F63">
        <v>5445</v>
      </c>
      <c r="G63" t="s">
        <v>14</v>
      </c>
    </row>
    <row r="64" spans="1:7" x14ac:dyDescent="0.35">
      <c r="A64" s="17" t="s">
        <v>46</v>
      </c>
      <c r="B64" t="s">
        <v>21</v>
      </c>
      <c r="C64" t="s">
        <v>22</v>
      </c>
      <c r="D64">
        <v>3</v>
      </c>
      <c r="E64">
        <v>1620</v>
      </c>
      <c r="F64">
        <v>4860</v>
      </c>
      <c r="G64" t="s">
        <v>14</v>
      </c>
    </row>
    <row r="65" spans="1:7" x14ac:dyDescent="0.35">
      <c r="A65" s="17" t="s">
        <v>27</v>
      </c>
      <c r="B65" t="s">
        <v>8</v>
      </c>
      <c r="C65" t="s">
        <v>25</v>
      </c>
      <c r="D65">
        <v>14</v>
      </c>
      <c r="E65">
        <v>780</v>
      </c>
      <c r="F65">
        <v>10920</v>
      </c>
      <c r="G65" t="s">
        <v>10</v>
      </c>
    </row>
    <row r="66" spans="1:7" x14ac:dyDescent="0.35">
      <c r="A66" s="17" t="s">
        <v>37</v>
      </c>
      <c r="B66" t="s">
        <v>12</v>
      </c>
      <c r="C66" t="s">
        <v>13</v>
      </c>
      <c r="D66">
        <v>4</v>
      </c>
      <c r="E66">
        <v>1459</v>
      </c>
      <c r="F66">
        <v>5836</v>
      </c>
      <c r="G66" t="s">
        <v>16</v>
      </c>
    </row>
    <row r="67" spans="1:7" x14ac:dyDescent="0.35">
      <c r="A67" s="17" t="s">
        <v>28</v>
      </c>
      <c r="B67" t="s">
        <v>8</v>
      </c>
      <c r="C67" t="s">
        <v>13</v>
      </c>
      <c r="D67">
        <v>9</v>
      </c>
      <c r="E67">
        <v>1551</v>
      </c>
      <c r="F67">
        <v>13959</v>
      </c>
      <c r="G67" t="s">
        <v>10</v>
      </c>
    </row>
    <row r="68" spans="1:7" x14ac:dyDescent="0.35">
      <c r="A68" s="17" t="s">
        <v>54</v>
      </c>
      <c r="B68" t="s">
        <v>12</v>
      </c>
      <c r="C68" t="s">
        <v>22</v>
      </c>
      <c r="D68">
        <v>10</v>
      </c>
      <c r="E68">
        <v>1693</v>
      </c>
      <c r="F68">
        <v>16930</v>
      </c>
      <c r="G68" t="s">
        <v>16</v>
      </c>
    </row>
    <row r="69" spans="1:7" x14ac:dyDescent="0.35">
      <c r="A69" s="17" t="s">
        <v>54</v>
      </c>
      <c r="B69" t="s">
        <v>8</v>
      </c>
      <c r="C69" t="s">
        <v>25</v>
      </c>
      <c r="D69">
        <v>2</v>
      </c>
      <c r="E69">
        <v>658</v>
      </c>
      <c r="F69">
        <v>1316</v>
      </c>
      <c r="G69" t="s">
        <v>14</v>
      </c>
    </row>
    <row r="70" spans="1:7" x14ac:dyDescent="0.35">
      <c r="A70" s="17" t="s">
        <v>23</v>
      </c>
      <c r="B70" t="s">
        <v>12</v>
      </c>
      <c r="C70" t="s">
        <v>13</v>
      </c>
      <c r="D70">
        <v>1</v>
      </c>
      <c r="E70">
        <v>1465</v>
      </c>
      <c r="F70">
        <v>1465</v>
      </c>
      <c r="G70" t="s">
        <v>16</v>
      </c>
    </row>
    <row r="71" spans="1:7" x14ac:dyDescent="0.35">
      <c r="A71" s="17" t="s">
        <v>29</v>
      </c>
      <c r="B71" t="s">
        <v>12</v>
      </c>
      <c r="C71" t="s">
        <v>25</v>
      </c>
      <c r="D71">
        <v>16</v>
      </c>
      <c r="E71">
        <v>1531</v>
      </c>
      <c r="F71">
        <v>24496</v>
      </c>
      <c r="G71" t="s">
        <v>16</v>
      </c>
    </row>
    <row r="72" spans="1:7" x14ac:dyDescent="0.35">
      <c r="A72" s="17" t="s">
        <v>55</v>
      </c>
      <c r="B72" t="s">
        <v>8</v>
      </c>
      <c r="C72" t="s">
        <v>25</v>
      </c>
      <c r="D72">
        <v>16</v>
      </c>
      <c r="E72">
        <v>1833</v>
      </c>
      <c r="F72">
        <v>29328</v>
      </c>
      <c r="G72" t="s">
        <v>14</v>
      </c>
    </row>
    <row r="73" spans="1:7" x14ac:dyDescent="0.35">
      <c r="A73" s="17" t="s">
        <v>47</v>
      </c>
      <c r="B73" t="s">
        <v>8</v>
      </c>
      <c r="C73" t="s">
        <v>13</v>
      </c>
      <c r="D73">
        <v>6</v>
      </c>
      <c r="E73">
        <v>273</v>
      </c>
      <c r="F73">
        <v>1638</v>
      </c>
      <c r="G73" t="s">
        <v>10</v>
      </c>
    </row>
    <row r="74" spans="1:7" x14ac:dyDescent="0.35">
      <c r="A74" s="17" t="s">
        <v>56</v>
      </c>
      <c r="B74" t="s">
        <v>21</v>
      </c>
      <c r="C74" t="s">
        <v>9</v>
      </c>
      <c r="D74">
        <v>3</v>
      </c>
      <c r="E74">
        <v>1091</v>
      </c>
      <c r="F74">
        <v>3273</v>
      </c>
      <c r="G74" t="s">
        <v>16</v>
      </c>
    </row>
    <row r="75" spans="1:7" x14ac:dyDescent="0.35">
      <c r="A75" s="17" t="s">
        <v>57</v>
      </c>
      <c r="B75" t="s">
        <v>8</v>
      </c>
      <c r="C75" t="s">
        <v>22</v>
      </c>
      <c r="D75">
        <v>6</v>
      </c>
      <c r="E75">
        <v>1325</v>
      </c>
      <c r="F75">
        <v>7950</v>
      </c>
      <c r="G75" t="s">
        <v>10</v>
      </c>
    </row>
    <row r="76" spans="1:7" x14ac:dyDescent="0.35">
      <c r="A76" s="17" t="s">
        <v>58</v>
      </c>
      <c r="B76" t="s">
        <v>8</v>
      </c>
      <c r="C76" t="s">
        <v>22</v>
      </c>
      <c r="D76">
        <v>17</v>
      </c>
      <c r="E76">
        <v>1080</v>
      </c>
      <c r="F76">
        <v>18360</v>
      </c>
      <c r="G76" t="s">
        <v>14</v>
      </c>
    </row>
    <row r="77" spans="1:7" x14ac:dyDescent="0.35">
      <c r="A77" s="17" t="s">
        <v>59</v>
      </c>
      <c r="B77" t="s">
        <v>8</v>
      </c>
      <c r="C77" t="s">
        <v>9</v>
      </c>
      <c r="D77">
        <v>4</v>
      </c>
      <c r="E77">
        <v>1862</v>
      </c>
      <c r="F77">
        <v>7448</v>
      </c>
      <c r="G77" t="s">
        <v>16</v>
      </c>
    </row>
    <row r="78" spans="1:7" x14ac:dyDescent="0.35">
      <c r="A78" s="17" t="s">
        <v>46</v>
      </c>
      <c r="B78" t="s">
        <v>12</v>
      </c>
      <c r="C78" t="s">
        <v>9</v>
      </c>
      <c r="D78">
        <v>9</v>
      </c>
      <c r="E78">
        <v>603</v>
      </c>
      <c r="F78">
        <v>5427</v>
      </c>
      <c r="G78" t="s">
        <v>16</v>
      </c>
    </row>
    <row r="79" spans="1:7" x14ac:dyDescent="0.35">
      <c r="A79" s="17" t="s">
        <v>18</v>
      </c>
      <c r="B79" t="s">
        <v>21</v>
      </c>
      <c r="C79" t="s">
        <v>13</v>
      </c>
      <c r="D79">
        <v>10</v>
      </c>
      <c r="E79">
        <v>654</v>
      </c>
      <c r="F79">
        <v>6540</v>
      </c>
      <c r="G79" t="s">
        <v>14</v>
      </c>
    </row>
    <row r="80" spans="1:7" x14ac:dyDescent="0.35">
      <c r="A80" s="17" t="s">
        <v>39</v>
      </c>
      <c r="B80" t="s">
        <v>12</v>
      </c>
      <c r="C80" t="s">
        <v>13</v>
      </c>
      <c r="D80">
        <v>4</v>
      </c>
      <c r="E80">
        <v>492</v>
      </c>
      <c r="F80">
        <v>1968</v>
      </c>
      <c r="G80" t="s">
        <v>10</v>
      </c>
    </row>
    <row r="81" spans="1:7" x14ac:dyDescent="0.35">
      <c r="A81" s="17" t="s">
        <v>28</v>
      </c>
      <c r="B81" t="s">
        <v>12</v>
      </c>
      <c r="C81" t="s">
        <v>13</v>
      </c>
      <c r="D81">
        <v>20</v>
      </c>
      <c r="E81">
        <v>1174</v>
      </c>
      <c r="F81">
        <v>23480</v>
      </c>
      <c r="G81" t="s">
        <v>14</v>
      </c>
    </row>
    <row r="82" spans="1:7" x14ac:dyDescent="0.35">
      <c r="A82" s="17" t="s">
        <v>44</v>
      </c>
      <c r="B82" t="s">
        <v>8</v>
      </c>
      <c r="C82" t="s">
        <v>13</v>
      </c>
      <c r="D82">
        <v>7</v>
      </c>
      <c r="E82">
        <v>370</v>
      </c>
      <c r="F82">
        <v>2590</v>
      </c>
      <c r="G82" t="s">
        <v>14</v>
      </c>
    </row>
    <row r="83" spans="1:7" x14ac:dyDescent="0.35">
      <c r="A83" s="17" t="s">
        <v>38</v>
      </c>
      <c r="B83" t="s">
        <v>12</v>
      </c>
      <c r="C83" t="s">
        <v>25</v>
      </c>
      <c r="D83">
        <v>10</v>
      </c>
      <c r="E83">
        <v>420</v>
      </c>
      <c r="F83">
        <v>4200</v>
      </c>
      <c r="G83" t="s">
        <v>10</v>
      </c>
    </row>
    <row r="84" spans="1:7" x14ac:dyDescent="0.35">
      <c r="A84" s="17" t="s">
        <v>50</v>
      </c>
      <c r="B84" t="s">
        <v>8</v>
      </c>
      <c r="C84" t="s">
        <v>13</v>
      </c>
      <c r="D84">
        <v>15</v>
      </c>
      <c r="E84">
        <v>922</v>
      </c>
      <c r="F84">
        <v>13830</v>
      </c>
      <c r="G84" t="s">
        <v>16</v>
      </c>
    </row>
    <row r="85" spans="1:7" x14ac:dyDescent="0.35">
      <c r="A85" s="17" t="s">
        <v>60</v>
      </c>
      <c r="B85" t="s">
        <v>8</v>
      </c>
      <c r="C85" t="s">
        <v>9</v>
      </c>
      <c r="D85">
        <v>10</v>
      </c>
      <c r="E85">
        <v>1997</v>
      </c>
      <c r="F85">
        <v>19970</v>
      </c>
      <c r="G85" t="s">
        <v>16</v>
      </c>
    </row>
    <row r="86" spans="1:7" x14ac:dyDescent="0.35">
      <c r="A86" s="17" t="s">
        <v>36</v>
      </c>
      <c r="B86" t="s">
        <v>21</v>
      </c>
      <c r="C86" t="s">
        <v>22</v>
      </c>
      <c r="D86">
        <v>2</v>
      </c>
      <c r="E86">
        <v>864</v>
      </c>
      <c r="F86">
        <v>1728</v>
      </c>
      <c r="G86" t="s">
        <v>16</v>
      </c>
    </row>
    <row r="87" spans="1:7" x14ac:dyDescent="0.35">
      <c r="A87" s="17" t="s">
        <v>26</v>
      </c>
      <c r="B87" t="s">
        <v>8</v>
      </c>
      <c r="C87" t="s">
        <v>13</v>
      </c>
      <c r="D87">
        <v>4</v>
      </c>
      <c r="E87">
        <v>273</v>
      </c>
      <c r="F87">
        <v>1092</v>
      </c>
      <c r="G87" t="s">
        <v>10</v>
      </c>
    </row>
    <row r="88" spans="1:7" x14ac:dyDescent="0.35">
      <c r="A88" s="17" t="s">
        <v>7</v>
      </c>
      <c r="B88" t="s">
        <v>8</v>
      </c>
      <c r="C88" t="s">
        <v>22</v>
      </c>
      <c r="D88">
        <v>9</v>
      </c>
      <c r="E88">
        <v>1445</v>
      </c>
      <c r="F88">
        <v>13005</v>
      </c>
      <c r="G88" t="s">
        <v>16</v>
      </c>
    </row>
    <row r="89" spans="1:7" x14ac:dyDescent="0.35">
      <c r="A89" s="17" t="s">
        <v>46</v>
      </c>
      <c r="B89" t="s">
        <v>8</v>
      </c>
      <c r="C89" t="s">
        <v>13</v>
      </c>
      <c r="D89">
        <v>14</v>
      </c>
      <c r="E89">
        <v>229</v>
      </c>
      <c r="F89">
        <v>3206</v>
      </c>
      <c r="G89" t="s">
        <v>14</v>
      </c>
    </row>
    <row r="90" spans="1:7" x14ac:dyDescent="0.35">
      <c r="A90" s="17" t="s">
        <v>28</v>
      </c>
      <c r="B90" t="s">
        <v>21</v>
      </c>
      <c r="C90" t="s">
        <v>9</v>
      </c>
      <c r="D90">
        <v>15</v>
      </c>
      <c r="E90">
        <v>963</v>
      </c>
      <c r="F90">
        <v>14445</v>
      </c>
      <c r="G90" t="s">
        <v>10</v>
      </c>
    </row>
    <row r="91" spans="1:7" x14ac:dyDescent="0.35">
      <c r="A91" s="17" t="s">
        <v>20</v>
      </c>
      <c r="B91" t="s">
        <v>8</v>
      </c>
      <c r="C91" t="s">
        <v>22</v>
      </c>
      <c r="D91">
        <v>14</v>
      </c>
      <c r="E91">
        <v>1701</v>
      </c>
      <c r="F91">
        <v>23814</v>
      </c>
      <c r="G91" t="s">
        <v>14</v>
      </c>
    </row>
    <row r="92" spans="1:7" x14ac:dyDescent="0.35">
      <c r="A92" s="17" t="s">
        <v>40</v>
      </c>
      <c r="B92" t="s">
        <v>8</v>
      </c>
      <c r="C92" t="s">
        <v>22</v>
      </c>
      <c r="D92">
        <v>12</v>
      </c>
      <c r="E92">
        <v>1938</v>
      </c>
      <c r="F92">
        <v>23256</v>
      </c>
      <c r="G92" t="s">
        <v>14</v>
      </c>
    </row>
    <row r="93" spans="1:7" x14ac:dyDescent="0.35">
      <c r="A93" s="17" t="s">
        <v>39</v>
      </c>
      <c r="B93" t="s">
        <v>21</v>
      </c>
      <c r="C93" t="s">
        <v>13</v>
      </c>
      <c r="D93">
        <v>7</v>
      </c>
      <c r="E93">
        <v>1283</v>
      </c>
      <c r="F93">
        <v>8981</v>
      </c>
      <c r="G93" t="s">
        <v>10</v>
      </c>
    </row>
    <row r="94" spans="1:7" x14ac:dyDescent="0.35">
      <c r="A94" s="17" t="s">
        <v>23</v>
      </c>
      <c r="B94" t="s">
        <v>8</v>
      </c>
      <c r="C94" t="s">
        <v>9</v>
      </c>
      <c r="D94">
        <v>16</v>
      </c>
      <c r="E94">
        <v>265</v>
      </c>
      <c r="F94">
        <v>4240</v>
      </c>
      <c r="G94" t="s">
        <v>16</v>
      </c>
    </row>
    <row r="95" spans="1:7" x14ac:dyDescent="0.35">
      <c r="A95" s="17" t="s">
        <v>24</v>
      </c>
      <c r="B95" t="s">
        <v>8</v>
      </c>
      <c r="C95" t="s">
        <v>22</v>
      </c>
      <c r="D95">
        <v>18</v>
      </c>
      <c r="E95">
        <v>1460</v>
      </c>
      <c r="F95">
        <v>26280</v>
      </c>
      <c r="G95" t="s">
        <v>10</v>
      </c>
    </row>
    <row r="96" spans="1:7" x14ac:dyDescent="0.35">
      <c r="A96" s="17" t="s">
        <v>11</v>
      </c>
      <c r="B96" t="s">
        <v>8</v>
      </c>
      <c r="C96" t="s">
        <v>13</v>
      </c>
      <c r="D96">
        <v>12</v>
      </c>
      <c r="E96">
        <v>423</v>
      </c>
      <c r="F96">
        <v>5076</v>
      </c>
      <c r="G96" t="s">
        <v>14</v>
      </c>
    </row>
    <row r="97" spans="1:7" x14ac:dyDescent="0.35">
      <c r="A97" s="17" t="s">
        <v>29</v>
      </c>
      <c r="B97" t="s">
        <v>12</v>
      </c>
      <c r="C97" t="s">
        <v>22</v>
      </c>
      <c r="D97">
        <v>10</v>
      </c>
      <c r="E97">
        <v>716</v>
      </c>
      <c r="F97">
        <v>7160</v>
      </c>
      <c r="G97" t="s">
        <v>16</v>
      </c>
    </row>
    <row r="98" spans="1:7" x14ac:dyDescent="0.35">
      <c r="A98" s="17" t="s">
        <v>26</v>
      </c>
      <c r="B98" t="s">
        <v>8</v>
      </c>
      <c r="C98" t="s">
        <v>13</v>
      </c>
      <c r="D98">
        <v>9</v>
      </c>
      <c r="E98">
        <v>837</v>
      </c>
      <c r="F98">
        <v>7533</v>
      </c>
      <c r="G98" t="s">
        <v>10</v>
      </c>
    </row>
    <row r="99" spans="1:7" x14ac:dyDescent="0.35">
      <c r="A99" s="17" t="s">
        <v>35</v>
      </c>
      <c r="B99" t="s">
        <v>21</v>
      </c>
      <c r="C99" t="s">
        <v>25</v>
      </c>
      <c r="D99">
        <v>4</v>
      </c>
      <c r="E99">
        <v>1766</v>
      </c>
      <c r="F99">
        <v>7064</v>
      </c>
      <c r="G99" t="s">
        <v>10</v>
      </c>
    </row>
    <row r="100" spans="1:7" x14ac:dyDescent="0.35">
      <c r="A100" s="17" t="s">
        <v>48</v>
      </c>
      <c r="B100" t="s">
        <v>21</v>
      </c>
      <c r="C100" t="s">
        <v>22</v>
      </c>
      <c r="D100">
        <v>9</v>
      </c>
      <c r="E100">
        <v>1132</v>
      </c>
      <c r="F100">
        <v>10188</v>
      </c>
      <c r="G100" t="s">
        <v>10</v>
      </c>
    </row>
    <row r="101" spans="1:7" x14ac:dyDescent="0.35">
      <c r="A101" s="17" t="s">
        <v>28</v>
      </c>
      <c r="B101" t="s">
        <v>12</v>
      </c>
      <c r="C101" t="s">
        <v>25</v>
      </c>
      <c r="D101">
        <v>1</v>
      </c>
      <c r="E101">
        <v>247</v>
      </c>
      <c r="F101">
        <v>247</v>
      </c>
      <c r="G101"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workbookViewId="0">
      <selection activeCell="M10" sqref="M10"/>
    </sheetView>
  </sheetViews>
  <sheetFormatPr defaultRowHeight="14.5" x14ac:dyDescent="0.35"/>
  <cols>
    <col min="1" max="1" width="20.81640625" style="18" customWidth="1"/>
    <col min="3" max="3" width="10" customWidth="1"/>
    <col min="4" max="4" width="10.81640625" style="1" customWidth="1"/>
    <col min="5" max="5" width="10.54296875" style="2" bestFit="1" customWidth="1"/>
    <col min="6" max="6" width="11" style="2" customWidth="1"/>
    <col min="7" max="7" width="9.7265625" bestFit="1" customWidth="1"/>
    <col min="8" max="8" width="10.81640625" bestFit="1" customWidth="1"/>
    <col min="9" max="9" width="15.7265625" style="19" customWidth="1"/>
  </cols>
  <sheetData>
    <row r="1" spans="1:10" x14ac:dyDescent="0.35">
      <c r="A1" s="18" t="s">
        <v>0</v>
      </c>
      <c r="B1" t="s">
        <v>1</v>
      </c>
      <c r="C1" t="s">
        <v>2</v>
      </c>
      <c r="D1" s="1" t="s">
        <v>3</v>
      </c>
      <c r="E1" s="3" t="s">
        <v>4</v>
      </c>
      <c r="F1" s="3" t="s">
        <v>5</v>
      </c>
      <c r="G1" t="s">
        <v>6</v>
      </c>
      <c r="H1" t="s">
        <v>73</v>
      </c>
      <c r="I1" s="19" t="s">
        <v>74</v>
      </c>
      <c r="J1" t="s">
        <v>75</v>
      </c>
    </row>
    <row r="2" spans="1:10" x14ac:dyDescent="0.35">
      <c r="A2" s="18">
        <v>45414</v>
      </c>
      <c r="B2" t="s">
        <v>8</v>
      </c>
      <c r="C2" t="s">
        <v>9</v>
      </c>
      <c r="D2" s="1">
        <v>11</v>
      </c>
      <c r="E2" s="2">
        <v>1807</v>
      </c>
      <c r="F2" s="2">
        <v>19877</v>
      </c>
      <c r="G2" t="s">
        <v>10</v>
      </c>
      <c r="H2" t="str">
        <f>TEXT(A2,"mmmm")</f>
        <v>May</v>
      </c>
      <c r="I2" s="19">
        <f t="shared" ref="I2:I55" si="0">DATE(RIGHT(A2,4),MID(A2,4,2),LEFT(A2,2))</f>
        <v>1283904</v>
      </c>
      <c r="J2" t="str">
        <f t="shared" ref="J2:J33" si="1">TEXT(I2,"mmm")</f>
        <v>Mar</v>
      </c>
    </row>
    <row r="3" spans="1:10" x14ac:dyDescent="0.35">
      <c r="A3" s="18">
        <v>45506</v>
      </c>
      <c r="B3" t="s">
        <v>12</v>
      </c>
      <c r="C3" t="s">
        <v>13</v>
      </c>
      <c r="D3" s="1">
        <v>11</v>
      </c>
      <c r="E3" s="2">
        <v>1228</v>
      </c>
      <c r="F3" s="2">
        <v>13508</v>
      </c>
      <c r="G3" t="s">
        <v>14</v>
      </c>
      <c r="H3" t="str">
        <f t="shared" ref="H3:H65" si="2">TEXT(A3,"mmmm")</f>
        <v>August</v>
      </c>
      <c r="I3" s="19">
        <f>DATE(RIGHT(A3,4),MID(A3,4,2),LEFT(A3,2))</f>
        <v>1317261</v>
      </c>
      <c r="J3" t="str">
        <f t="shared" si="1"/>
        <v>Jul</v>
      </c>
    </row>
    <row r="4" spans="1:10" x14ac:dyDescent="0.35">
      <c r="A4" s="18" t="s">
        <v>15</v>
      </c>
      <c r="B4" t="s">
        <v>8</v>
      </c>
      <c r="C4" t="s">
        <v>13</v>
      </c>
      <c r="D4" s="1">
        <v>15</v>
      </c>
      <c r="E4" s="2">
        <v>706</v>
      </c>
      <c r="F4" s="2">
        <v>10590</v>
      </c>
      <c r="G4" t="s">
        <v>16</v>
      </c>
      <c r="H4" t="str">
        <f t="shared" si="2"/>
        <v>26/01/2024</v>
      </c>
      <c r="I4" s="19">
        <f t="shared" si="0"/>
        <v>45317</v>
      </c>
      <c r="J4" t="str">
        <f t="shared" si="1"/>
        <v>Jan</v>
      </c>
    </row>
    <row r="5" spans="1:10" x14ac:dyDescent="0.35">
      <c r="A5" s="18" t="s">
        <v>17</v>
      </c>
      <c r="B5" t="s">
        <v>8</v>
      </c>
      <c r="C5" t="s">
        <v>13</v>
      </c>
      <c r="D5" s="1">
        <v>19</v>
      </c>
      <c r="E5" s="2">
        <v>1145</v>
      </c>
      <c r="F5" s="2">
        <v>21755</v>
      </c>
      <c r="G5" t="s">
        <v>16</v>
      </c>
      <c r="H5" t="str">
        <f t="shared" si="2"/>
        <v>15/01/2024</v>
      </c>
      <c r="I5" s="19">
        <f t="shared" si="0"/>
        <v>45306</v>
      </c>
      <c r="J5" t="str">
        <f t="shared" si="1"/>
        <v>Jan</v>
      </c>
    </row>
    <row r="6" spans="1:10" x14ac:dyDescent="0.35">
      <c r="A6" s="18" t="s">
        <v>18</v>
      </c>
      <c r="B6" t="s">
        <v>8</v>
      </c>
      <c r="C6" t="s">
        <v>9</v>
      </c>
      <c r="D6" s="1">
        <v>11</v>
      </c>
      <c r="E6" s="2">
        <v>213</v>
      </c>
      <c r="F6" s="2">
        <v>2343</v>
      </c>
      <c r="G6" t="s">
        <v>16</v>
      </c>
      <c r="H6" t="str">
        <f t="shared" si="2"/>
        <v>17/01/2024</v>
      </c>
      <c r="I6" s="19">
        <f t="shared" si="0"/>
        <v>45308</v>
      </c>
      <c r="J6" t="str">
        <f t="shared" si="1"/>
        <v>Jan</v>
      </c>
    </row>
    <row r="7" spans="1:10" x14ac:dyDescent="0.35">
      <c r="A7" s="18">
        <v>45292</v>
      </c>
      <c r="B7" t="s">
        <v>12</v>
      </c>
      <c r="C7" t="s">
        <v>9</v>
      </c>
      <c r="D7" s="1">
        <v>5</v>
      </c>
      <c r="E7" s="2">
        <v>1147</v>
      </c>
      <c r="F7" s="2">
        <v>5735</v>
      </c>
      <c r="G7" t="s">
        <v>10</v>
      </c>
      <c r="H7" t="str">
        <f t="shared" si="2"/>
        <v>January</v>
      </c>
      <c r="I7" s="19">
        <f t="shared" si="0"/>
        <v>1241718</v>
      </c>
      <c r="J7" t="str">
        <f t="shared" si="1"/>
        <v>Sep</v>
      </c>
    </row>
    <row r="8" spans="1:10" x14ac:dyDescent="0.35">
      <c r="A8" s="18">
        <v>45294</v>
      </c>
      <c r="B8" t="s">
        <v>21</v>
      </c>
      <c r="C8" t="s">
        <v>22</v>
      </c>
      <c r="D8" s="1">
        <v>1</v>
      </c>
      <c r="E8" s="2">
        <v>665</v>
      </c>
      <c r="F8" s="2">
        <v>665</v>
      </c>
      <c r="G8" t="s">
        <v>10</v>
      </c>
      <c r="H8" t="str">
        <f t="shared" si="2"/>
        <v>January</v>
      </c>
      <c r="I8" s="19">
        <f t="shared" si="0"/>
        <v>1242509</v>
      </c>
      <c r="J8" t="str">
        <f t="shared" si="1"/>
        <v>Nov</v>
      </c>
    </row>
    <row r="9" spans="1:10" x14ac:dyDescent="0.35">
      <c r="A9" s="18" t="s">
        <v>18</v>
      </c>
      <c r="B9" t="s">
        <v>12</v>
      </c>
      <c r="C9" t="s">
        <v>22</v>
      </c>
      <c r="D9" s="1">
        <v>18</v>
      </c>
      <c r="E9" s="2">
        <v>352</v>
      </c>
      <c r="F9" s="2">
        <v>6336</v>
      </c>
      <c r="G9" t="s">
        <v>16</v>
      </c>
      <c r="H9" t="str">
        <f t="shared" si="2"/>
        <v>17/01/2024</v>
      </c>
      <c r="I9" s="19">
        <f t="shared" si="0"/>
        <v>45308</v>
      </c>
      <c r="J9" t="str">
        <f t="shared" si="1"/>
        <v>Jan</v>
      </c>
    </row>
    <row r="10" spans="1:10" x14ac:dyDescent="0.35">
      <c r="A10" s="18">
        <v>45383</v>
      </c>
      <c r="B10" t="s">
        <v>12</v>
      </c>
      <c r="C10" t="s">
        <v>9</v>
      </c>
      <c r="D10" s="1">
        <v>6</v>
      </c>
      <c r="E10" s="2">
        <v>1038</v>
      </c>
      <c r="F10" s="2">
        <v>6228</v>
      </c>
      <c r="G10" t="s">
        <v>16</v>
      </c>
      <c r="H10" t="str">
        <f t="shared" si="2"/>
        <v>April</v>
      </c>
      <c r="I10" s="19">
        <f t="shared" si="0"/>
        <v>1274682</v>
      </c>
      <c r="J10" t="str">
        <f t="shared" si="1"/>
        <v>Dec</v>
      </c>
    </row>
    <row r="11" spans="1:10" x14ac:dyDescent="0.35">
      <c r="A11" s="18" t="s">
        <v>24</v>
      </c>
      <c r="B11" t="s">
        <v>21</v>
      </c>
      <c r="C11" t="s">
        <v>25</v>
      </c>
      <c r="D11" s="1">
        <v>17</v>
      </c>
      <c r="E11" s="2">
        <v>202</v>
      </c>
      <c r="F11" s="2">
        <v>3434</v>
      </c>
      <c r="G11" t="s">
        <v>16</v>
      </c>
      <c r="H11" t="str">
        <f t="shared" si="2"/>
        <v>21/01/2024</v>
      </c>
      <c r="I11" s="19">
        <f t="shared" si="0"/>
        <v>45312</v>
      </c>
      <c r="J11" t="str">
        <f t="shared" si="1"/>
        <v>Jan</v>
      </c>
    </row>
    <row r="12" spans="1:10" x14ac:dyDescent="0.35">
      <c r="A12" s="18" t="s">
        <v>26</v>
      </c>
      <c r="B12" t="s">
        <v>21</v>
      </c>
      <c r="C12" t="s">
        <v>13</v>
      </c>
      <c r="D12" s="1">
        <v>19</v>
      </c>
      <c r="E12" s="2">
        <v>1310</v>
      </c>
      <c r="F12" s="2">
        <v>24890</v>
      </c>
      <c r="G12" t="s">
        <v>14</v>
      </c>
      <c r="H12" t="str">
        <f t="shared" si="2"/>
        <v>15/02/2024</v>
      </c>
      <c r="I12" s="19">
        <f t="shared" si="0"/>
        <v>45337</v>
      </c>
      <c r="J12" t="str">
        <f t="shared" si="1"/>
        <v>Feb</v>
      </c>
    </row>
    <row r="13" spans="1:10" x14ac:dyDescent="0.35">
      <c r="A13" s="18" t="s">
        <v>27</v>
      </c>
      <c r="B13" t="s">
        <v>21</v>
      </c>
      <c r="C13" t="s">
        <v>13</v>
      </c>
      <c r="D13" s="1">
        <v>12</v>
      </c>
      <c r="E13" s="2">
        <v>1056</v>
      </c>
      <c r="F13" s="2">
        <v>12672</v>
      </c>
      <c r="G13" t="s">
        <v>10</v>
      </c>
      <c r="H13" t="str">
        <f t="shared" si="2"/>
        <v>22/02/2024</v>
      </c>
      <c r="I13" s="19">
        <f t="shared" si="0"/>
        <v>45344</v>
      </c>
      <c r="J13" t="str">
        <f t="shared" si="1"/>
        <v>Feb</v>
      </c>
    </row>
    <row r="14" spans="1:10" x14ac:dyDescent="0.35">
      <c r="A14" s="18" t="s">
        <v>28</v>
      </c>
      <c r="B14" t="s">
        <v>8</v>
      </c>
      <c r="C14" t="s">
        <v>22</v>
      </c>
      <c r="D14" s="1">
        <v>1</v>
      </c>
      <c r="E14" s="2">
        <v>345</v>
      </c>
      <c r="F14" s="2">
        <v>345</v>
      </c>
      <c r="G14" t="s">
        <v>14</v>
      </c>
      <c r="H14" t="str">
        <f t="shared" si="2"/>
        <v>18/02/2024</v>
      </c>
      <c r="I14" s="19">
        <f t="shared" si="0"/>
        <v>45340</v>
      </c>
      <c r="J14" t="str">
        <f t="shared" si="1"/>
        <v>Feb</v>
      </c>
    </row>
    <row r="15" spans="1:10" x14ac:dyDescent="0.35">
      <c r="A15" s="18">
        <v>45475</v>
      </c>
      <c r="B15" t="s">
        <v>12</v>
      </c>
      <c r="C15" t="s">
        <v>25</v>
      </c>
      <c r="D15" s="1">
        <v>17</v>
      </c>
      <c r="E15" s="2">
        <v>1469</v>
      </c>
      <c r="F15" s="2">
        <v>24973</v>
      </c>
      <c r="G15" t="s">
        <v>10</v>
      </c>
      <c r="H15" t="str">
        <f t="shared" si="2"/>
        <v>July</v>
      </c>
      <c r="I15" s="19">
        <f t="shared" si="0"/>
        <v>1308039</v>
      </c>
      <c r="J15" t="str">
        <f t="shared" si="1"/>
        <v>Apr</v>
      </c>
    </row>
    <row r="16" spans="1:10" x14ac:dyDescent="0.35">
      <c r="A16" s="18" t="s">
        <v>24</v>
      </c>
      <c r="B16" t="s">
        <v>21</v>
      </c>
      <c r="C16" t="s">
        <v>22</v>
      </c>
      <c r="D16" s="1">
        <v>10</v>
      </c>
      <c r="E16" s="2">
        <v>1580</v>
      </c>
      <c r="F16" s="2">
        <v>15800</v>
      </c>
      <c r="G16" t="s">
        <v>16</v>
      </c>
      <c r="H16" t="str">
        <f t="shared" si="2"/>
        <v>21/01/2024</v>
      </c>
      <c r="I16" s="19">
        <f t="shared" si="0"/>
        <v>45312</v>
      </c>
      <c r="J16" t="str">
        <f t="shared" si="1"/>
        <v>Jan</v>
      </c>
    </row>
    <row r="17" spans="1:10" x14ac:dyDescent="0.35">
      <c r="A17" s="18" t="s">
        <v>30</v>
      </c>
      <c r="B17" t="s">
        <v>21</v>
      </c>
      <c r="C17" t="s">
        <v>22</v>
      </c>
      <c r="D17" s="1">
        <v>15</v>
      </c>
      <c r="E17" s="2">
        <v>1157</v>
      </c>
      <c r="F17" s="2">
        <v>17355</v>
      </c>
      <c r="G17" t="s">
        <v>16</v>
      </c>
      <c r="H17" t="str">
        <f t="shared" si="2"/>
        <v>28/02/2024</v>
      </c>
      <c r="I17" s="19">
        <f t="shared" si="0"/>
        <v>45350</v>
      </c>
      <c r="J17" t="str">
        <f t="shared" si="1"/>
        <v>Feb</v>
      </c>
    </row>
    <row r="18" spans="1:10" x14ac:dyDescent="0.35">
      <c r="A18" s="18" t="s">
        <v>31</v>
      </c>
      <c r="B18" t="s">
        <v>12</v>
      </c>
      <c r="C18" t="s">
        <v>25</v>
      </c>
      <c r="D18" s="1">
        <v>6</v>
      </c>
      <c r="E18" s="2">
        <v>1726</v>
      </c>
      <c r="F18" s="2">
        <v>10356</v>
      </c>
      <c r="G18" t="s">
        <v>14</v>
      </c>
      <c r="H18" t="str">
        <f t="shared" si="2"/>
        <v>20/02/2024</v>
      </c>
      <c r="I18" s="19">
        <f t="shared" si="0"/>
        <v>45342</v>
      </c>
      <c r="J18" t="str">
        <f t="shared" si="1"/>
        <v>Feb</v>
      </c>
    </row>
    <row r="19" spans="1:10" x14ac:dyDescent="0.35">
      <c r="A19" s="18" t="s">
        <v>32</v>
      </c>
      <c r="B19" t="s">
        <v>21</v>
      </c>
      <c r="C19" t="s">
        <v>13</v>
      </c>
      <c r="D19" s="1">
        <v>17</v>
      </c>
      <c r="E19" s="2">
        <v>1792</v>
      </c>
      <c r="F19" s="2">
        <v>30464</v>
      </c>
      <c r="G19" t="s">
        <v>10</v>
      </c>
      <c r="H19" t="str">
        <f t="shared" si="2"/>
        <v>26/02/2024</v>
      </c>
      <c r="I19" s="19">
        <f t="shared" si="0"/>
        <v>45348</v>
      </c>
      <c r="J19" t="str">
        <f t="shared" si="1"/>
        <v>Feb</v>
      </c>
    </row>
    <row r="20" spans="1:10" x14ac:dyDescent="0.35">
      <c r="A20" s="18" t="s">
        <v>33</v>
      </c>
      <c r="B20" t="s">
        <v>21</v>
      </c>
      <c r="C20" t="s">
        <v>25</v>
      </c>
      <c r="D20" s="1">
        <v>7</v>
      </c>
      <c r="E20" s="2">
        <v>1165</v>
      </c>
      <c r="F20" s="2">
        <v>8155</v>
      </c>
      <c r="G20" t="s">
        <v>14</v>
      </c>
      <c r="H20" t="str">
        <f t="shared" si="2"/>
        <v>27/02/2024</v>
      </c>
      <c r="I20" s="19">
        <f t="shared" si="0"/>
        <v>45349</v>
      </c>
      <c r="J20" t="str">
        <f t="shared" si="1"/>
        <v>Feb</v>
      </c>
    </row>
    <row r="21" spans="1:10" x14ac:dyDescent="0.35">
      <c r="A21" s="18">
        <v>45475</v>
      </c>
      <c r="B21" t="s">
        <v>12</v>
      </c>
      <c r="C21" t="s">
        <v>22</v>
      </c>
      <c r="D21" s="1">
        <v>12</v>
      </c>
      <c r="E21" s="2">
        <v>1355</v>
      </c>
      <c r="F21" s="2">
        <v>16260</v>
      </c>
      <c r="G21" t="s">
        <v>10</v>
      </c>
      <c r="H21" t="str">
        <f t="shared" si="2"/>
        <v>July</v>
      </c>
      <c r="I21" s="19">
        <f t="shared" si="0"/>
        <v>1308039</v>
      </c>
      <c r="J21" t="str">
        <f t="shared" si="1"/>
        <v>Apr</v>
      </c>
    </row>
    <row r="22" spans="1:10" x14ac:dyDescent="0.35">
      <c r="A22" s="18">
        <v>45536</v>
      </c>
      <c r="B22" t="s">
        <v>21</v>
      </c>
      <c r="C22" t="s">
        <v>22</v>
      </c>
      <c r="D22" s="1">
        <v>14</v>
      </c>
      <c r="E22" s="2">
        <v>487</v>
      </c>
      <c r="F22" s="2">
        <v>6818</v>
      </c>
      <c r="G22" t="s">
        <v>14</v>
      </c>
      <c r="H22" t="str">
        <f t="shared" si="2"/>
        <v>September</v>
      </c>
      <c r="I22" s="19">
        <f t="shared" si="0"/>
        <v>1329132</v>
      </c>
      <c r="J22" t="str">
        <f t="shared" si="1"/>
        <v>Jan</v>
      </c>
    </row>
    <row r="23" spans="1:10" x14ac:dyDescent="0.35">
      <c r="A23" s="18" t="s">
        <v>35</v>
      </c>
      <c r="B23" t="s">
        <v>21</v>
      </c>
      <c r="C23" t="s">
        <v>22</v>
      </c>
      <c r="D23" s="1">
        <v>15</v>
      </c>
      <c r="E23" s="2">
        <v>383</v>
      </c>
      <c r="F23" s="2">
        <v>5745</v>
      </c>
      <c r="G23" t="s">
        <v>10</v>
      </c>
      <c r="H23" t="str">
        <f t="shared" si="2"/>
        <v>19/01/2024</v>
      </c>
      <c r="I23" s="19">
        <f t="shared" si="0"/>
        <v>45310</v>
      </c>
      <c r="J23" t="str">
        <f t="shared" si="1"/>
        <v>Jan</v>
      </c>
    </row>
    <row r="24" spans="1:10" x14ac:dyDescent="0.35">
      <c r="A24" s="18">
        <v>45566</v>
      </c>
      <c r="B24" t="s">
        <v>8</v>
      </c>
      <c r="C24" t="s">
        <v>25</v>
      </c>
      <c r="D24" s="1">
        <v>12</v>
      </c>
      <c r="E24" s="2">
        <v>1525</v>
      </c>
      <c r="F24" s="2">
        <v>18300</v>
      </c>
      <c r="G24" t="s">
        <v>14</v>
      </c>
      <c r="H24" t="str">
        <f t="shared" si="2"/>
        <v>October</v>
      </c>
      <c r="I24" s="19">
        <f t="shared" si="0"/>
        <v>1341002</v>
      </c>
      <c r="J24" t="str">
        <f t="shared" si="1"/>
        <v>Jul</v>
      </c>
    </row>
    <row r="25" spans="1:10" x14ac:dyDescent="0.35">
      <c r="A25" s="18" t="s">
        <v>37</v>
      </c>
      <c r="B25" t="s">
        <v>21</v>
      </c>
      <c r="C25" t="s">
        <v>25</v>
      </c>
      <c r="D25" s="1">
        <v>16</v>
      </c>
      <c r="E25" s="2">
        <v>1163</v>
      </c>
      <c r="F25" s="2">
        <v>18608</v>
      </c>
      <c r="G25" t="s">
        <v>14</v>
      </c>
      <c r="H25" t="str">
        <f t="shared" si="2"/>
        <v>18/01/2024</v>
      </c>
      <c r="I25" s="19">
        <f t="shared" si="0"/>
        <v>45309</v>
      </c>
      <c r="J25" t="str">
        <f t="shared" si="1"/>
        <v>Jan</v>
      </c>
    </row>
    <row r="26" spans="1:10" x14ac:dyDescent="0.35">
      <c r="A26" s="18">
        <v>45567</v>
      </c>
      <c r="B26" t="s">
        <v>21</v>
      </c>
      <c r="C26" t="s">
        <v>22</v>
      </c>
      <c r="D26" s="1">
        <v>12</v>
      </c>
      <c r="E26" s="2">
        <v>523</v>
      </c>
      <c r="F26" s="2">
        <v>6276</v>
      </c>
      <c r="G26" t="s">
        <v>14</v>
      </c>
      <c r="H26" t="str">
        <f t="shared" si="2"/>
        <v>October</v>
      </c>
      <c r="I26" s="19">
        <f t="shared" si="0"/>
        <v>1341398</v>
      </c>
      <c r="J26" t="str">
        <f t="shared" si="1"/>
        <v>Aug</v>
      </c>
    </row>
    <row r="27" spans="1:10" x14ac:dyDescent="0.35">
      <c r="A27" s="18">
        <v>45506</v>
      </c>
      <c r="B27" t="s">
        <v>8</v>
      </c>
      <c r="C27" t="s">
        <v>22</v>
      </c>
      <c r="D27" s="1">
        <v>16</v>
      </c>
      <c r="E27" s="2">
        <v>585</v>
      </c>
      <c r="F27" s="2">
        <v>9360</v>
      </c>
      <c r="G27" t="s">
        <v>14</v>
      </c>
      <c r="H27" t="str">
        <f t="shared" si="2"/>
        <v>August</v>
      </c>
      <c r="I27" s="19">
        <f t="shared" si="0"/>
        <v>1317261</v>
      </c>
      <c r="J27" t="str">
        <f t="shared" si="1"/>
        <v>Jul</v>
      </c>
    </row>
    <row r="28" spans="1:10" x14ac:dyDescent="0.35">
      <c r="A28" s="18">
        <v>45445</v>
      </c>
      <c r="B28" t="s">
        <v>21</v>
      </c>
      <c r="C28" t="s">
        <v>25</v>
      </c>
      <c r="D28" s="1">
        <v>6</v>
      </c>
      <c r="E28" s="2">
        <v>1933</v>
      </c>
      <c r="F28" s="2">
        <v>11598</v>
      </c>
      <c r="G28" t="s">
        <v>14</v>
      </c>
      <c r="H28" t="str">
        <f t="shared" si="2"/>
        <v>June</v>
      </c>
      <c r="I28" s="19">
        <f t="shared" si="0"/>
        <v>1296170</v>
      </c>
      <c r="J28" t="str">
        <f t="shared" si="1"/>
        <v>Oct</v>
      </c>
    </row>
    <row r="29" spans="1:10" x14ac:dyDescent="0.35">
      <c r="A29" s="18" t="s">
        <v>40</v>
      </c>
      <c r="B29" t="s">
        <v>12</v>
      </c>
      <c r="C29" t="s">
        <v>22</v>
      </c>
      <c r="D29" s="1">
        <v>16</v>
      </c>
      <c r="E29" s="2">
        <v>575</v>
      </c>
      <c r="F29" s="2">
        <v>9200</v>
      </c>
      <c r="G29" t="s">
        <v>14</v>
      </c>
      <c r="H29" t="str">
        <f t="shared" si="2"/>
        <v>31/01/2024</v>
      </c>
      <c r="I29" s="19">
        <f t="shared" si="0"/>
        <v>45322</v>
      </c>
      <c r="J29" t="str">
        <f t="shared" si="1"/>
        <v>Jan</v>
      </c>
    </row>
    <row r="30" spans="1:10" x14ac:dyDescent="0.35">
      <c r="A30" s="18" t="s">
        <v>32</v>
      </c>
      <c r="B30" t="s">
        <v>8</v>
      </c>
      <c r="C30" t="s">
        <v>25</v>
      </c>
      <c r="D30" s="1">
        <v>15</v>
      </c>
      <c r="E30" s="2">
        <v>1621</v>
      </c>
      <c r="F30" s="2">
        <v>24315</v>
      </c>
      <c r="G30" t="s">
        <v>10</v>
      </c>
      <c r="H30" t="str">
        <f t="shared" si="2"/>
        <v>26/02/2024</v>
      </c>
      <c r="I30" s="19">
        <f t="shared" si="0"/>
        <v>45348</v>
      </c>
      <c r="J30" t="str">
        <f t="shared" si="1"/>
        <v>Feb</v>
      </c>
    </row>
    <row r="31" spans="1:10" x14ac:dyDescent="0.35">
      <c r="A31" s="18" t="s">
        <v>41</v>
      </c>
      <c r="B31" t="s">
        <v>12</v>
      </c>
      <c r="C31" t="s">
        <v>9</v>
      </c>
      <c r="D31" s="1">
        <v>16</v>
      </c>
      <c r="E31" s="2">
        <v>1278</v>
      </c>
      <c r="F31" s="2">
        <v>20448</v>
      </c>
      <c r="G31" t="s">
        <v>10</v>
      </c>
      <c r="H31" t="str">
        <f t="shared" si="2"/>
        <v>21/02/2024</v>
      </c>
      <c r="I31" s="19">
        <f t="shared" si="0"/>
        <v>45343</v>
      </c>
      <c r="J31" t="str">
        <f t="shared" si="1"/>
        <v>Feb</v>
      </c>
    </row>
    <row r="32" spans="1:10" x14ac:dyDescent="0.35">
      <c r="A32" s="18" t="s">
        <v>24</v>
      </c>
      <c r="B32" t="s">
        <v>12</v>
      </c>
      <c r="C32" t="s">
        <v>25</v>
      </c>
      <c r="D32" s="1">
        <v>11</v>
      </c>
      <c r="E32" s="2">
        <v>1833</v>
      </c>
      <c r="F32" s="2">
        <v>20163</v>
      </c>
      <c r="G32" t="s">
        <v>16</v>
      </c>
      <c r="H32" t="str">
        <f t="shared" si="2"/>
        <v>21/01/2024</v>
      </c>
      <c r="I32" s="19">
        <f t="shared" si="0"/>
        <v>45312</v>
      </c>
      <c r="J32" t="str">
        <f t="shared" si="1"/>
        <v>Jan</v>
      </c>
    </row>
    <row r="33" spans="1:10" x14ac:dyDescent="0.35">
      <c r="A33" s="18" t="s">
        <v>35</v>
      </c>
      <c r="B33" t="s">
        <v>12</v>
      </c>
      <c r="C33" t="s">
        <v>9</v>
      </c>
      <c r="D33" s="1">
        <v>2</v>
      </c>
      <c r="E33" s="2">
        <v>1294</v>
      </c>
      <c r="F33" s="2">
        <v>2588</v>
      </c>
      <c r="G33" t="s">
        <v>16</v>
      </c>
      <c r="H33" t="str">
        <f t="shared" si="2"/>
        <v>19/01/2024</v>
      </c>
      <c r="I33" s="19">
        <f t="shared" si="0"/>
        <v>45310</v>
      </c>
      <c r="J33" t="str">
        <f t="shared" si="1"/>
        <v>Jan</v>
      </c>
    </row>
    <row r="34" spans="1:10" x14ac:dyDescent="0.35">
      <c r="A34" s="18">
        <v>45324</v>
      </c>
      <c r="B34" t="s">
        <v>21</v>
      </c>
      <c r="C34" t="s">
        <v>13</v>
      </c>
      <c r="D34" s="1">
        <v>4</v>
      </c>
      <c r="E34" s="2">
        <v>458</v>
      </c>
      <c r="F34" s="2">
        <v>1832</v>
      </c>
      <c r="G34" t="s">
        <v>14</v>
      </c>
      <c r="H34" t="str">
        <f t="shared" si="2"/>
        <v>February</v>
      </c>
      <c r="I34" s="19">
        <f t="shared" si="0"/>
        <v>1251336</v>
      </c>
      <c r="J34" t="str">
        <f t="shared" ref="J34:J65" si="3">TEXT(I34,"mmm")</f>
        <v>Jan</v>
      </c>
    </row>
    <row r="35" spans="1:10" x14ac:dyDescent="0.35">
      <c r="A35" s="18">
        <v>45597</v>
      </c>
      <c r="B35" t="s">
        <v>8</v>
      </c>
      <c r="C35" t="s">
        <v>25</v>
      </c>
      <c r="D35" s="1">
        <v>15</v>
      </c>
      <c r="E35" s="2">
        <v>1354</v>
      </c>
      <c r="F35" s="2">
        <v>20310</v>
      </c>
      <c r="G35" t="s">
        <v>10</v>
      </c>
      <c r="H35" t="str">
        <f t="shared" si="2"/>
        <v>November</v>
      </c>
      <c r="I35" s="19">
        <f t="shared" si="0"/>
        <v>1353270</v>
      </c>
      <c r="J35" t="str">
        <f t="shared" si="3"/>
        <v>Feb</v>
      </c>
    </row>
    <row r="36" spans="1:10" x14ac:dyDescent="0.35">
      <c r="A36" s="18" t="s">
        <v>41</v>
      </c>
      <c r="B36" t="s">
        <v>8</v>
      </c>
      <c r="C36" t="s">
        <v>9</v>
      </c>
      <c r="D36" s="1">
        <v>11</v>
      </c>
      <c r="E36" s="2">
        <v>1486</v>
      </c>
      <c r="F36" s="2">
        <v>16346</v>
      </c>
      <c r="G36" t="s">
        <v>14</v>
      </c>
      <c r="H36" t="str">
        <f t="shared" si="2"/>
        <v>21/02/2024</v>
      </c>
      <c r="I36" s="19">
        <f t="shared" si="0"/>
        <v>45343</v>
      </c>
      <c r="J36" t="str">
        <f t="shared" si="3"/>
        <v>Feb</v>
      </c>
    </row>
    <row r="37" spans="1:10" x14ac:dyDescent="0.35">
      <c r="A37" s="18" t="s">
        <v>17</v>
      </c>
      <c r="B37" t="s">
        <v>21</v>
      </c>
      <c r="C37" t="s">
        <v>9</v>
      </c>
      <c r="D37" s="1">
        <v>13</v>
      </c>
      <c r="E37" s="2">
        <v>1128</v>
      </c>
      <c r="F37" s="2">
        <v>14664</v>
      </c>
      <c r="G37" t="s">
        <v>10</v>
      </c>
      <c r="H37" t="str">
        <f t="shared" si="2"/>
        <v>15/01/2024</v>
      </c>
      <c r="I37" s="19">
        <f t="shared" si="0"/>
        <v>45306</v>
      </c>
      <c r="J37" t="str">
        <f t="shared" si="3"/>
        <v>Jan</v>
      </c>
    </row>
    <row r="38" spans="1:10" x14ac:dyDescent="0.35">
      <c r="A38" s="18" t="s">
        <v>27</v>
      </c>
      <c r="B38" t="s">
        <v>8</v>
      </c>
      <c r="C38" t="s">
        <v>13</v>
      </c>
      <c r="D38" s="1">
        <v>9</v>
      </c>
      <c r="E38" s="2">
        <v>518</v>
      </c>
      <c r="F38" s="2">
        <v>4662</v>
      </c>
      <c r="G38" t="s">
        <v>16</v>
      </c>
      <c r="H38" t="str">
        <f t="shared" si="2"/>
        <v>22/02/2024</v>
      </c>
      <c r="I38" s="19">
        <f t="shared" si="0"/>
        <v>45344</v>
      </c>
      <c r="J38" t="str">
        <f t="shared" si="3"/>
        <v>Feb</v>
      </c>
    </row>
    <row r="39" spans="1:10" x14ac:dyDescent="0.35">
      <c r="A39" s="18">
        <v>45567</v>
      </c>
      <c r="B39" t="s">
        <v>12</v>
      </c>
      <c r="C39" t="s">
        <v>9</v>
      </c>
      <c r="D39" s="1">
        <v>2</v>
      </c>
      <c r="E39" s="2">
        <v>1241</v>
      </c>
      <c r="F39" s="2">
        <v>2482</v>
      </c>
      <c r="G39" t="s">
        <v>14</v>
      </c>
      <c r="H39" t="str">
        <f t="shared" si="2"/>
        <v>October</v>
      </c>
      <c r="I39" s="19">
        <f t="shared" si="0"/>
        <v>1341398</v>
      </c>
      <c r="J39" t="str">
        <f t="shared" si="3"/>
        <v>Aug</v>
      </c>
    </row>
    <row r="40" spans="1:10" x14ac:dyDescent="0.35">
      <c r="A40" s="18">
        <v>45474</v>
      </c>
      <c r="B40" t="s">
        <v>21</v>
      </c>
      <c r="C40" t="s">
        <v>25</v>
      </c>
      <c r="D40" s="1">
        <v>20</v>
      </c>
      <c r="E40" s="2">
        <v>1286</v>
      </c>
      <c r="F40" s="2">
        <v>25720</v>
      </c>
      <c r="G40" t="s">
        <v>10</v>
      </c>
      <c r="H40" t="str">
        <f t="shared" si="2"/>
        <v>July</v>
      </c>
      <c r="I40" s="19">
        <f t="shared" si="0"/>
        <v>1307645</v>
      </c>
      <c r="J40" t="str">
        <f t="shared" si="3"/>
        <v>Mar</v>
      </c>
    </row>
    <row r="41" spans="1:10" x14ac:dyDescent="0.35">
      <c r="A41" s="18" t="s">
        <v>37</v>
      </c>
      <c r="B41" t="s">
        <v>8</v>
      </c>
      <c r="C41" t="s">
        <v>25</v>
      </c>
      <c r="D41" s="1">
        <v>8</v>
      </c>
      <c r="E41" s="2">
        <v>1088</v>
      </c>
      <c r="F41" s="2">
        <v>8704</v>
      </c>
      <c r="G41" t="s">
        <v>10</v>
      </c>
      <c r="H41" t="str">
        <f t="shared" si="2"/>
        <v>18/01/2024</v>
      </c>
      <c r="I41" s="19">
        <f t="shared" si="0"/>
        <v>45309</v>
      </c>
      <c r="J41" t="str">
        <f t="shared" si="3"/>
        <v>Jan</v>
      </c>
    </row>
    <row r="42" spans="1:10" x14ac:dyDescent="0.35">
      <c r="A42" s="18" t="s">
        <v>45</v>
      </c>
      <c r="B42" t="s">
        <v>12</v>
      </c>
      <c r="C42" t="s">
        <v>25</v>
      </c>
      <c r="D42" s="1">
        <v>8</v>
      </c>
      <c r="E42" s="2">
        <v>1969</v>
      </c>
      <c r="F42" s="2">
        <v>15752</v>
      </c>
      <c r="G42" t="s">
        <v>16</v>
      </c>
      <c r="H42" t="str">
        <f t="shared" si="2"/>
        <v>19/02/2024</v>
      </c>
      <c r="I42" s="19">
        <f t="shared" si="0"/>
        <v>45341</v>
      </c>
      <c r="J42" t="str">
        <f t="shared" si="3"/>
        <v>Feb</v>
      </c>
    </row>
    <row r="43" spans="1:10" x14ac:dyDescent="0.35">
      <c r="A43" s="18">
        <v>45475</v>
      </c>
      <c r="B43" t="s">
        <v>12</v>
      </c>
      <c r="C43" t="s">
        <v>9</v>
      </c>
      <c r="D43" s="1">
        <v>15</v>
      </c>
      <c r="E43" s="2">
        <v>1090</v>
      </c>
      <c r="F43" s="2">
        <v>16350</v>
      </c>
      <c r="G43" t="s">
        <v>16</v>
      </c>
      <c r="H43" t="str">
        <f t="shared" si="2"/>
        <v>July</v>
      </c>
      <c r="I43" s="19">
        <f t="shared" si="0"/>
        <v>1308039</v>
      </c>
      <c r="J43" t="str">
        <f t="shared" si="3"/>
        <v>Apr</v>
      </c>
    </row>
    <row r="44" spans="1:10" x14ac:dyDescent="0.35">
      <c r="A44" s="18" t="s">
        <v>46</v>
      </c>
      <c r="B44" t="s">
        <v>12</v>
      </c>
      <c r="C44" t="s">
        <v>9</v>
      </c>
      <c r="D44" s="1">
        <v>17</v>
      </c>
      <c r="E44" s="2">
        <v>1053</v>
      </c>
      <c r="F44" s="2">
        <v>17901</v>
      </c>
      <c r="G44" t="s">
        <v>10</v>
      </c>
      <c r="H44" t="str">
        <f t="shared" si="2"/>
        <v>22/01/2024</v>
      </c>
      <c r="I44" s="19">
        <f t="shared" si="0"/>
        <v>45313</v>
      </c>
      <c r="J44" t="str">
        <f t="shared" si="3"/>
        <v>Jan</v>
      </c>
    </row>
    <row r="45" spans="1:10" x14ac:dyDescent="0.35">
      <c r="A45" s="18" t="s">
        <v>27</v>
      </c>
      <c r="B45" t="s">
        <v>12</v>
      </c>
      <c r="C45" t="s">
        <v>25</v>
      </c>
      <c r="D45" s="1">
        <v>2</v>
      </c>
      <c r="E45" s="2">
        <v>612</v>
      </c>
      <c r="F45" s="2">
        <v>1224</v>
      </c>
      <c r="G45" t="s">
        <v>10</v>
      </c>
      <c r="H45" t="str">
        <f t="shared" si="2"/>
        <v>22/02/2024</v>
      </c>
      <c r="I45" s="19">
        <f t="shared" si="0"/>
        <v>45344</v>
      </c>
      <c r="J45" t="str">
        <f t="shared" si="3"/>
        <v>Feb</v>
      </c>
    </row>
    <row r="46" spans="1:10" x14ac:dyDescent="0.35">
      <c r="A46" s="18">
        <v>45324</v>
      </c>
      <c r="B46" t="s">
        <v>21</v>
      </c>
      <c r="C46" t="s">
        <v>25</v>
      </c>
      <c r="D46" s="1">
        <v>3</v>
      </c>
      <c r="E46" s="2">
        <v>341</v>
      </c>
      <c r="F46" s="2">
        <v>1023</v>
      </c>
      <c r="G46" t="s">
        <v>14</v>
      </c>
      <c r="H46" t="str">
        <f t="shared" si="2"/>
        <v>February</v>
      </c>
      <c r="I46" s="19">
        <f t="shared" si="0"/>
        <v>1251336</v>
      </c>
      <c r="J46" t="str">
        <f t="shared" si="3"/>
        <v>Jan</v>
      </c>
    </row>
    <row r="47" spans="1:10" x14ac:dyDescent="0.35">
      <c r="A47" s="18">
        <v>45414</v>
      </c>
      <c r="B47" t="s">
        <v>21</v>
      </c>
      <c r="C47" t="s">
        <v>13</v>
      </c>
      <c r="D47" s="1">
        <v>17</v>
      </c>
      <c r="E47" s="2">
        <v>933</v>
      </c>
      <c r="F47" s="2">
        <v>15861</v>
      </c>
      <c r="G47" t="s">
        <v>14</v>
      </c>
      <c r="H47" t="str">
        <f t="shared" si="2"/>
        <v>May</v>
      </c>
      <c r="I47" s="19">
        <f t="shared" si="0"/>
        <v>1283904</v>
      </c>
      <c r="J47" t="str">
        <f t="shared" si="3"/>
        <v>Mar</v>
      </c>
    </row>
    <row r="48" spans="1:10" x14ac:dyDescent="0.35">
      <c r="A48" s="18">
        <v>45413</v>
      </c>
      <c r="B48" t="s">
        <v>21</v>
      </c>
      <c r="C48" t="s">
        <v>9</v>
      </c>
      <c r="D48" s="1">
        <v>8</v>
      </c>
      <c r="E48" s="2">
        <v>1726</v>
      </c>
      <c r="F48" s="2">
        <v>13808</v>
      </c>
      <c r="G48" t="s">
        <v>14</v>
      </c>
      <c r="H48" t="str">
        <f t="shared" si="2"/>
        <v>May</v>
      </c>
      <c r="I48" s="19">
        <f t="shared" si="0"/>
        <v>1283508</v>
      </c>
      <c r="J48" t="str">
        <f t="shared" si="3"/>
        <v>Feb</v>
      </c>
    </row>
    <row r="49" spans="1:10" x14ac:dyDescent="0.35">
      <c r="A49" s="18" t="s">
        <v>48</v>
      </c>
      <c r="B49" t="s">
        <v>21</v>
      </c>
      <c r="C49" t="s">
        <v>22</v>
      </c>
      <c r="D49" s="1">
        <v>16</v>
      </c>
      <c r="E49" s="2">
        <v>1651</v>
      </c>
      <c r="F49" s="2">
        <v>26416</v>
      </c>
      <c r="G49" t="s">
        <v>10</v>
      </c>
      <c r="H49" t="str">
        <f t="shared" si="2"/>
        <v>14/01/2024</v>
      </c>
      <c r="I49" s="19">
        <f t="shared" si="0"/>
        <v>45305</v>
      </c>
      <c r="J49" t="str">
        <f t="shared" si="3"/>
        <v>Jan</v>
      </c>
    </row>
    <row r="50" spans="1:10" x14ac:dyDescent="0.35">
      <c r="A50" s="18" t="s">
        <v>40</v>
      </c>
      <c r="B50" t="s">
        <v>8</v>
      </c>
      <c r="C50" t="s">
        <v>9</v>
      </c>
      <c r="D50" s="1">
        <v>14</v>
      </c>
      <c r="E50" s="2">
        <v>1919</v>
      </c>
      <c r="F50" s="2">
        <v>26866</v>
      </c>
      <c r="G50" t="s">
        <v>16</v>
      </c>
      <c r="H50" t="str">
        <f t="shared" si="2"/>
        <v>31/01/2024</v>
      </c>
      <c r="I50" s="19">
        <f t="shared" si="0"/>
        <v>45322</v>
      </c>
      <c r="J50" t="str">
        <f t="shared" si="3"/>
        <v>Jan</v>
      </c>
    </row>
    <row r="51" spans="1:10" x14ac:dyDescent="0.35">
      <c r="A51" s="18" t="s">
        <v>49</v>
      </c>
      <c r="B51" t="s">
        <v>21</v>
      </c>
      <c r="C51" t="s">
        <v>13</v>
      </c>
      <c r="D51" s="1">
        <v>4</v>
      </c>
      <c r="E51" s="2">
        <v>605</v>
      </c>
      <c r="F51" s="2">
        <v>2420</v>
      </c>
      <c r="G51" t="s">
        <v>10</v>
      </c>
      <c r="H51" t="str">
        <f t="shared" si="2"/>
        <v>30/01/2024</v>
      </c>
      <c r="I51" s="19">
        <f t="shared" si="0"/>
        <v>45321</v>
      </c>
      <c r="J51" t="str">
        <f t="shared" si="3"/>
        <v>Jan</v>
      </c>
    </row>
    <row r="52" spans="1:10" x14ac:dyDescent="0.35">
      <c r="A52" s="18">
        <v>45384</v>
      </c>
      <c r="B52" t="s">
        <v>12</v>
      </c>
      <c r="C52" t="s">
        <v>9</v>
      </c>
      <c r="D52" s="1">
        <v>18</v>
      </c>
      <c r="E52" s="2">
        <v>539</v>
      </c>
      <c r="F52" s="2">
        <v>9702</v>
      </c>
      <c r="G52" t="s">
        <v>10</v>
      </c>
      <c r="H52" t="str">
        <f t="shared" si="2"/>
        <v>April</v>
      </c>
      <c r="I52" s="19">
        <f t="shared" si="0"/>
        <v>1275077</v>
      </c>
      <c r="J52" t="str">
        <f t="shared" si="3"/>
        <v>Jan</v>
      </c>
    </row>
    <row r="53" spans="1:10" x14ac:dyDescent="0.35">
      <c r="A53" s="18">
        <v>45445</v>
      </c>
      <c r="B53" t="s">
        <v>21</v>
      </c>
      <c r="C53" t="s">
        <v>22</v>
      </c>
      <c r="D53" s="1">
        <v>20</v>
      </c>
      <c r="E53" s="2">
        <v>668</v>
      </c>
      <c r="F53" s="2">
        <v>13360</v>
      </c>
      <c r="G53" t="s">
        <v>16</v>
      </c>
      <c r="H53" t="str">
        <f t="shared" si="2"/>
        <v>June</v>
      </c>
      <c r="I53" s="19">
        <f t="shared" si="0"/>
        <v>1296170</v>
      </c>
      <c r="J53" t="str">
        <f t="shared" si="3"/>
        <v>Oct</v>
      </c>
    </row>
    <row r="54" spans="1:10" x14ac:dyDescent="0.35">
      <c r="A54" s="18" t="s">
        <v>51</v>
      </c>
      <c r="B54" t="s">
        <v>12</v>
      </c>
      <c r="C54" t="s">
        <v>25</v>
      </c>
      <c r="D54" s="1">
        <v>17</v>
      </c>
      <c r="E54" s="2">
        <v>768</v>
      </c>
      <c r="F54" s="2">
        <v>13056</v>
      </c>
      <c r="G54" t="s">
        <v>16</v>
      </c>
      <c r="H54" t="str">
        <f t="shared" si="2"/>
        <v>23/01/2024</v>
      </c>
      <c r="I54" s="19">
        <f t="shared" si="0"/>
        <v>45314</v>
      </c>
      <c r="J54" t="str">
        <f t="shared" si="3"/>
        <v>Jan</v>
      </c>
    </row>
    <row r="55" spans="1:10" x14ac:dyDescent="0.35">
      <c r="A55" s="18" t="s">
        <v>30</v>
      </c>
      <c r="B55" t="s">
        <v>8</v>
      </c>
      <c r="C55" t="s">
        <v>13</v>
      </c>
      <c r="D55" s="1">
        <v>16</v>
      </c>
      <c r="E55" s="2">
        <v>827</v>
      </c>
      <c r="F55" s="2">
        <v>13232</v>
      </c>
      <c r="G55" t="s">
        <v>14</v>
      </c>
      <c r="H55" t="str">
        <f t="shared" si="2"/>
        <v>28/02/2024</v>
      </c>
      <c r="I55" s="19">
        <f t="shared" si="0"/>
        <v>45350</v>
      </c>
      <c r="J55" t="str">
        <f t="shared" si="3"/>
        <v>Feb</v>
      </c>
    </row>
    <row r="56" spans="1:10" x14ac:dyDescent="0.35">
      <c r="A56" s="18" t="s">
        <v>18</v>
      </c>
      <c r="B56" t="s">
        <v>8</v>
      </c>
      <c r="C56" t="s">
        <v>25</v>
      </c>
      <c r="D56" s="1">
        <v>6</v>
      </c>
      <c r="E56" s="2">
        <v>290</v>
      </c>
      <c r="F56" s="2">
        <v>1740</v>
      </c>
      <c r="G56" t="s">
        <v>14</v>
      </c>
      <c r="H56" t="str">
        <f t="shared" si="2"/>
        <v>17/01/2024</v>
      </c>
      <c r="I56" s="19">
        <f t="shared" ref="I56:I65" si="4">DATE(RIGHT(A56,4),MID(A56,4,2),LEFT(A56,2))</f>
        <v>45308</v>
      </c>
      <c r="J56" t="str">
        <f t="shared" si="3"/>
        <v>Jan</v>
      </c>
    </row>
    <row r="57" spans="1:10" x14ac:dyDescent="0.35">
      <c r="A57" s="18">
        <v>45293</v>
      </c>
      <c r="B57" t="s">
        <v>8</v>
      </c>
      <c r="C57" t="s">
        <v>25</v>
      </c>
      <c r="D57" s="1">
        <v>6</v>
      </c>
      <c r="E57" s="2">
        <v>223</v>
      </c>
      <c r="F57" s="2">
        <v>1338</v>
      </c>
      <c r="G57" t="s">
        <v>10</v>
      </c>
      <c r="H57" t="str">
        <f t="shared" si="2"/>
        <v>January</v>
      </c>
      <c r="I57" s="19">
        <f t="shared" si="4"/>
        <v>1242114</v>
      </c>
      <c r="J57" t="str">
        <f t="shared" si="3"/>
        <v>Oct</v>
      </c>
    </row>
    <row r="58" spans="1:10" x14ac:dyDescent="0.35">
      <c r="A58" s="18">
        <v>45567</v>
      </c>
      <c r="B58" t="s">
        <v>8</v>
      </c>
      <c r="C58" t="s">
        <v>22</v>
      </c>
      <c r="D58" s="1">
        <v>13</v>
      </c>
      <c r="E58" s="2">
        <v>1440</v>
      </c>
      <c r="F58" s="2">
        <v>18720</v>
      </c>
      <c r="G58" t="s">
        <v>14</v>
      </c>
      <c r="H58" t="str">
        <f t="shared" si="2"/>
        <v>October</v>
      </c>
      <c r="I58" s="19">
        <f t="shared" si="4"/>
        <v>1341398</v>
      </c>
      <c r="J58" t="str">
        <f t="shared" si="3"/>
        <v>Aug</v>
      </c>
    </row>
    <row r="59" spans="1:10" x14ac:dyDescent="0.35">
      <c r="A59" s="18" t="s">
        <v>31</v>
      </c>
      <c r="B59" t="s">
        <v>12</v>
      </c>
      <c r="C59" t="s">
        <v>13</v>
      </c>
      <c r="D59" s="1">
        <v>9</v>
      </c>
      <c r="E59" s="2">
        <v>570</v>
      </c>
      <c r="F59" s="2">
        <v>5130</v>
      </c>
      <c r="G59" t="s">
        <v>10</v>
      </c>
      <c r="H59" t="str">
        <f t="shared" si="2"/>
        <v>20/02/2024</v>
      </c>
      <c r="I59" s="19">
        <f t="shared" si="4"/>
        <v>45342</v>
      </c>
      <c r="J59" t="str">
        <f t="shared" si="3"/>
        <v>Feb</v>
      </c>
    </row>
    <row r="60" spans="1:10" x14ac:dyDescent="0.35">
      <c r="A60" s="18" t="s">
        <v>17</v>
      </c>
      <c r="B60" t="s">
        <v>8</v>
      </c>
      <c r="C60" t="s">
        <v>9</v>
      </c>
      <c r="D60" s="1">
        <v>6</v>
      </c>
      <c r="E60" s="2">
        <v>1682</v>
      </c>
      <c r="F60" s="2">
        <v>10092</v>
      </c>
      <c r="G60" t="s">
        <v>14</v>
      </c>
      <c r="H60" t="str">
        <f t="shared" si="2"/>
        <v>15/01/2024</v>
      </c>
      <c r="I60" s="19">
        <f t="shared" si="4"/>
        <v>45306</v>
      </c>
      <c r="J60" t="str">
        <f t="shared" si="3"/>
        <v>Jan</v>
      </c>
    </row>
    <row r="61" spans="1:10" x14ac:dyDescent="0.35">
      <c r="A61" s="18" t="s">
        <v>45</v>
      </c>
      <c r="B61" t="s">
        <v>21</v>
      </c>
      <c r="C61" t="s">
        <v>25</v>
      </c>
      <c r="D61" s="1">
        <v>17</v>
      </c>
      <c r="E61" s="2">
        <v>1553</v>
      </c>
      <c r="F61" s="2">
        <v>26401</v>
      </c>
      <c r="G61" t="s">
        <v>10</v>
      </c>
      <c r="H61" t="str">
        <f t="shared" si="2"/>
        <v>19/02/2024</v>
      </c>
      <c r="I61" s="19">
        <f t="shared" si="4"/>
        <v>45341</v>
      </c>
      <c r="J61" t="str">
        <f t="shared" si="3"/>
        <v>Feb</v>
      </c>
    </row>
    <row r="62" spans="1:10" x14ac:dyDescent="0.35">
      <c r="A62" s="18">
        <v>45292</v>
      </c>
      <c r="B62" t="s">
        <v>12</v>
      </c>
      <c r="C62" t="s">
        <v>13</v>
      </c>
      <c r="D62" s="1">
        <v>19</v>
      </c>
      <c r="E62" s="2">
        <v>917</v>
      </c>
      <c r="F62" s="2">
        <v>17423</v>
      </c>
      <c r="G62" t="s">
        <v>14</v>
      </c>
      <c r="H62" t="str">
        <f t="shared" si="2"/>
        <v>January</v>
      </c>
      <c r="I62" s="19">
        <f t="shared" si="4"/>
        <v>1241718</v>
      </c>
      <c r="J62" t="str">
        <f t="shared" si="3"/>
        <v>Sep</v>
      </c>
    </row>
    <row r="63" spans="1:10" x14ac:dyDescent="0.35">
      <c r="A63" s="18" t="s">
        <v>53</v>
      </c>
      <c r="B63" t="s">
        <v>21</v>
      </c>
      <c r="C63" t="s">
        <v>25</v>
      </c>
      <c r="D63" s="1">
        <v>9</v>
      </c>
      <c r="E63" s="2">
        <v>605</v>
      </c>
      <c r="F63" s="2">
        <v>5445</v>
      </c>
      <c r="G63" t="s">
        <v>14</v>
      </c>
      <c r="H63" t="str">
        <f t="shared" si="2"/>
        <v>25/01/2024</v>
      </c>
      <c r="I63" s="19">
        <f t="shared" si="4"/>
        <v>45316</v>
      </c>
      <c r="J63" t="str">
        <f t="shared" si="3"/>
        <v>Jan</v>
      </c>
    </row>
    <row r="64" spans="1:10" x14ac:dyDescent="0.35">
      <c r="A64" s="18" t="s">
        <v>46</v>
      </c>
      <c r="B64" t="s">
        <v>21</v>
      </c>
      <c r="C64" t="s">
        <v>22</v>
      </c>
      <c r="D64" s="1">
        <v>3</v>
      </c>
      <c r="E64" s="2">
        <v>1620</v>
      </c>
      <c r="F64" s="2">
        <v>4860</v>
      </c>
      <c r="G64" t="s">
        <v>14</v>
      </c>
      <c r="H64" t="str">
        <f t="shared" si="2"/>
        <v>22/01/2024</v>
      </c>
      <c r="I64" s="19">
        <f t="shared" si="4"/>
        <v>45313</v>
      </c>
      <c r="J64" t="str">
        <f t="shared" si="3"/>
        <v>Jan</v>
      </c>
    </row>
    <row r="65" spans="1:10" x14ac:dyDescent="0.35">
      <c r="A65" s="18" t="s">
        <v>27</v>
      </c>
      <c r="B65" t="s">
        <v>8</v>
      </c>
      <c r="C65" t="s">
        <v>25</v>
      </c>
      <c r="D65" s="1">
        <v>14</v>
      </c>
      <c r="E65" s="2">
        <v>780</v>
      </c>
      <c r="F65" s="2">
        <v>10920</v>
      </c>
      <c r="G65" t="s">
        <v>10</v>
      </c>
      <c r="H65" t="str">
        <f t="shared" si="2"/>
        <v>22/02/2024</v>
      </c>
      <c r="I65" s="19">
        <f t="shared" si="4"/>
        <v>45344</v>
      </c>
      <c r="J65" t="str">
        <f t="shared" si="3"/>
        <v>Feb</v>
      </c>
    </row>
    <row r="66" spans="1:10" x14ac:dyDescent="0.35">
      <c r="A66" s="18" t="s">
        <v>37</v>
      </c>
      <c r="B66" t="s">
        <v>12</v>
      </c>
      <c r="C66" t="s">
        <v>13</v>
      </c>
      <c r="D66" s="1">
        <v>4</v>
      </c>
      <c r="E66" s="2">
        <v>1459</v>
      </c>
      <c r="F66" s="2">
        <v>5836</v>
      </c>
      <c r="G66" t="s">
        <v>16</v>
      </c>
      <c r="H66" t="str">
        <f t="shared" ref="H66:H101" si="5">TEXT(A66,"mmmm")</f>
        <v>18/01/2024</v>
      </c>
      <c r="I66" s="19">
        <f t="shared" ref="I66:I101" si="6">DATE(RIGHT(A66,4),MID(A66,4,2),LEFT(A66,2))</f>
        <v>45309</v>
      </c>
      <c r="J66" t="str">
        <f t="shared" ref="J66:J97" si="7">TEXT(I66,"mmm")</f>
        <v>Jan</v>
      </c>
    </row>
    <row r="67" spans="1:10" x14ac:dyDescent="0.35">
      <c r="A67" s="18" t="s">
        <v>28</v>
      </c>
      <c r="B67" t="s">
        <v>8</v>
      </c>
      <c r="C67" t="s">
        <v>13</v>
      </c>
      <c r="D67" s="1">
        <v>9</v>
      </c>
      <c r="E67" s="2">
        <v>1551</v>
      </c>
      <c r="F67" s="2">
        <v>13959</v>
      </c>
      <c r="G67" t="s">
        <v>10</v>
      </c>
      <c r="H67" t="str">
        <f t="shared" si="5"/>
        <v>18/02/2024</v>
      </c>
      <c r="I67" s="19">
        <f t="shared" si="6"/>
        <v>45340</v>
      </c>
      <c r="J67" t="str">
        <f t="shared" si="7"/>
        <v>Feb</v>
      </c>
    </row>
    <row r="68" spans="1:10" x14ac:dyDescent="0.35">
      <c r="A68" s="18">
        <v>45352</v>
      </c>
      <c r="B68" t="s">
        <v>12</v>
      </c>
      <c r="C68" t="s">
        <v>22</v>
      </c>
      <c r="D68" s="1">
        <v>10</v>
      </c>
      <c r="E68" s="2">
        <v>1693</v>
      </c>
      <c r="F68" s="2">
        <v>16930</v>
      </c>
      <c r="G68" t="s">
        <v>16</v>
      </c>
      <c r="H68" t="str">
        <f t="shared" si="5"/>
        <v>March</v>
      </c>
      <c r="I68" s="19">
        <f t="shared" si="6"/>
        <v>1262415</v>
      </c>
      <c r="J68" t="str">
        <f t="shared" si="7"/>
        <v>May</v>
      </c>
    </row>
    <row r="69" spans="1:10" x14ac:dyDescent="0.35">
      <c r="A69" s="18">
        <v>45352</v>
      </c>
      <c r="B69" t="s">
        <v>8</v>
      </c>
      <c r="C69" t="s">
        <v>25</v>
      </c>
      <c r="D69" s="1">
        <v>2</v>
      </c>
      <c r="E69" s="2">
        <v>658</v>
      </c>
      <c r="F69" s="2">
        <v>1316</v>
      </c>
      <c r="G69" t="s">
        <v>14</v>
      </c>
      <c r="H69" t="str">
        <f t="shared" si="5"/>
        <v>March</v>
      </c>
      <c r="I69" s="19">
        <f t="shared" si="6"/>
        <v>1262415</v>
      </c>
      <c r="J69" t="str">
        <f t="shared" si="7"/>
        <v>May</v>
      </c>
    </row>
    <row r="70" spans="1:10" x14ac:dyDescent="0.35">
      <c r="A70" s="18">
        <v>45383</v>
      </c>
      <c r="B70" t="s">
        <v>12</v>
      </c>
      <c r="C70" t="s">
        <v>13</v>
      </c>
      <c r="D70" s="1">
        <v>1</v>
      </c>
      <c r="E70" s="2">
        <v>1465</v>
      </c>
      <c r="F70" s="2">
        <v>1465</v>
      </c>
      <c r="G70" t="s">
        <v>16</v>
      </c>
      <c r="H70" t="str">
        <f t="shared" si="5"/>
        <v>April</v>
      </c>
      <c r="I70" s="19">
        <f t="shared" si="6"/>
        <v>1274682</v>
      </c>
      <c r="J70" t="str">
        <f t="shared" si="7"/>
        <v>Dec</v>
      </c>
    </row>
    <row r="71" spans="1:10" x14ac:dyDescent="0.35">
      <c r="A71" s="18">
        <v>45475</v>
      </c>
      <c r="B71" t="s">
        <v>12</v>
      </c>
      <c r="C71" t="s">
        <v>25</v>
      </c>
      <c r="D71" s="1">
        <v>16</v>
      </c>
      <c r="E71" s="2">
        <v>1531</v>
      </c>
      <c r="F71" s="2">
        <v>24496</v>
      </c>
      <c r="G71" t="s">
        <v>16</v>
      </c>
      <c r="H71" t="str">
        <f t="shared" si="5"/>
        <v>July</v>
      </c>
      <c r="I71" s="19">
        <f t="shared" si="6"/>
        <v>1308039</v>
      </c>
      <c r="J71" t="str">
        <f t="shared" si="7"/>
        <v>Apr</v>
      </c>
    </row>
    <row r="72" spans="1:10" x14ac:dyDescent="0.35">
      <c r="A72" s="18" t="s">
        <v>55</v>
      </c>
      <c r="B72" t="s">
        <v>8</v>
      </c>
      <c r="C72" t="s">
        <v>25</v>
      </c>
      <c r="D72" s="1">
        <v>16</v>
      </c>
      <c r="E72" s="2">
        <v>1833</v>
      </c>
      <c r="F72" s="2">
        <v>29328</v>
      </c>
      <c r="G72" t="s">
        <v>14</v>
      </c>
      <c r="H72" t="str">
        <f t="shared" si="5"/>
        <v>13/01/2024</v>
      </c>
      <c r="I72" s="19">
        <f t="shared" si="6"/>
        <v>45304</v>
      </c>
      <c r="J72" t="str">
        <f t="shared" si="7"/>
        <v>Jan</v>
      </c>
    </row>
    <row r="73" spans="1:10" x14ac:dyDescent="0.35">
      <c r="A73" s="18">
        <v>45413</v>
      </c>
      <c r="B73" t="s">
        <v>8</v>
      </c>
      <c r="C73" t="s">
        <v>13</v>
      </c>
      <c r="D73" s="1">
        <v>6</v>
      </c>
      <c r="E73" s="2">
        <v>273</v>
      </c>
      <c r="F73" s="2">
        <v>1638</v>
      </c>
      <c r="G73" t="s">
        <v>10</v>
      </c>
      <c r="H73" t="str">
        <f t="shared" si="5"/>
        <v>May</v>
      </c>
      <c r="I73" s="19">
        <f t="shared" si="6"/>
        <v>1283508</v>
      </c>
      <c r="J73" t="str">
        <f t="shared" si="7"/>
        <v>Feb</v>
      </c>
    </row>
    <row r="74" spans="1:10" x14ac:dyDescent="0.35">
      <c r="A74" s="18" t="s">
        <v>56</v>
      </c>
      <c r="B74" t="s">
        <v>21</v>
      </c>
      <c r="C74" t="s">
        <v>9</v>
      </c>
      <c r="D74" s="1">
        <v>3</v>
      </c>
      <c r="E74" s="2">
        <v>1091</v>
      </c>
      <c r="F74" s="2">
        <v>3273</v>
      </c>
      <c r="G74" t="s">
        <v>16</v>
      </c>
      <c r="H74" t="str">
        <f t="shared" si="5"/>
        <v>14/02/2024</v>
      </c>
      <c r="I74" s="19">
        <f t="shared" si="6"/>
        <v>45336</v>
      </c>
      <c r="J74" t="str">
        <f t="shared" si="7"/>
        <v>Feb</v>
      </c>
    </row>
    <row r="75" spans="1:10" x14ac:dyDescent="0.35">
      <c r="A75" s="18" t="s">
        <v>57</v>
      </c>
      <c r="B75" t="s">
        <v>8</v>
      </c>
      <c r="C75" t="s">
        <v>22</v>
      </c>
      <c r="D75" s="1">
        <v>6</v>
      </c>
      <c r="E75" s="2">
        <v>1325</v>
      </c>
      <c r="F75" s="2">
        <v>7950</v>
      </c>
      <c r="G75" t="s">
        <v>10</v>
      </c>
      <c r="H75" t="str">
        <f t="shared" si="5"/>
        <v>16/01/2024</v>
      </c>
      <c r="I75" s="19">
        <f t="shared" si="6"/>
        <v>45307</v>
      </c>
      <c r="J75" t="str">
        <f t="shared" si="7"/>
        <v>Jan</v>
      </c>
    </row>
    <row r="76" spans="1:10" x14ac:dyDescent="0.35">
      <c r="A76" s="18" t="s">
        <v>58</v>
      </c>
      <c r="B76" t="s">
        <v>8</v>
      </c>
      <c r="C76" t="s">
        <v>22</v>
      </c>
      <c r="D76" s="1">
        <v>17</v>
      </c>
      <c r="E76" s="2">
        <v>1080</v>
      </c>
      <c r="F76" s="2">
        <v>18360</v>
      </c>
      <c r="G76" t="s">
        <v>14</v>
      </c>
      <c r="H76" t="str">
        <f t="shared" si="5"/>
        <v>25/02/2024</v>
      </c>
      <c r="I76" s="19">
        <f t="shared" si="6"/>
        <v>45347</v>
      </c>
      <c r="J76" t="str">
        <f t="shared" si="7"/>
        <v>Feb</v>
      </c>
    </row>
    <row r="77" spans="1:10" x14ac:dyDescent="0.35">
      <c r="A77" s="18" t="s">
        <v>59</v>
      </c>
      <c r="B77" t="s">
        <v>8</v>
      </c>
      <c r="C77" t="s">
        <v>9</v>
      </c>
      <c r="D77" s="1">
        <v>4</v>
      </c>
      <c r="E77" s="2">
        <v>1862</v>
      </c>
      <c r="F77" s="2">
        <v>7448</v>
      </c>
      <c r="G77" t="s">
        <v>16</v>
      </c>
      <c r="H77" t="str">
        <f t="shared" si="5"/>
        <v>24/02/2024</v>
      </c>
      <c r="I77" s="19">
        <f t="shared" si="6"/>
        <v>45346</v>
      </c>
      <c r="J77" t="str">
        <f t="shared" si="7"/>
        <v>Feb</v>
      </c>
    </row>
    <row r="78" spans="1:10" x14ac:dyDescent="0.35">
      <c r="A78" s="18" t="s">
        <v>46</v>
      </c>
      <c r="B78" t="s">
        <v>12</v>
      </c>
      <c r="C78" t="s">
        <v>9</v>
      </c>
      <c r="D78" s="1">
        <v>9</v>
      </c>
      <c r="E78" s="2">
        <v>603</v>
      </c>
      <c r="F78" s="2">
        <v>5427</v>
      </c>
      <c r="G78" t="s">
        <v>16</v>
      </c>
      <c r="H78" t="str">
        <f t="shared" si="5"/>
        <v>22/01/2024</v>
      </c>
      <c r="I78" s="19">
        <f t="shared" si="6"/>
        <v>45313</v>
      </c>
      <c r="J78" t="str">
        <f t="shared" si="7"/>
        <v>Jan</v>
      </c>
    </row>
    <row r="79" spans="1:10" x14ac:dyDescent="0.35">
      <c r="A79" s="18" t="s">
        <v>18</v>
      </c>
      <c r="B79" t="s">
        <v>21</v>
      </c>
      <c r="C79" t="s">
        <v>13</v>
      </c>
      <c r="D79" s="1">
        <v>10</v>
      </c>
      <c r="E79" s="2">
        <v>654</v>
      </c>
      <c r="F79" s="2">
        <v>6540</v>
      </c>
      <c r="G79" t="s">
        <v>14</v>
      </c>
      <c r="H79" t="str">
        <f t="shared" si="5"/>
        <v>17/01/2024</v>
      </c>
      <c r="I79" s="19">
        <f t="shared" si="6"/>
        <v>45308</v>
      </c>
      <c r="J79" t="str">
        <f t="shared" si="7"/>
        <v>Jan</v>
      </c>
    </row>
    <row r="80" spans="1:10" x14ac:dyDescent="0.35">
      <c r="A80" s="18">
        <v>45445</v>
      </c>
      <c r="B80" t="s">
        <v>12</v>
      </c>
      <c r="C80" t="s">
        <v>13</v>
      </c>
      <c r="D80" s="1">
        <v>4</v>
      </c>
      <c r="E80" s="2">
        <v>492</v>
      </c>
      <c r="F80" s="2">
        <v>1968</v>
      </c>
      <c r="G80" t="s">
        <v>10</v>
      </c>
      <c r="H80" t="str">
        <f t="shared" si="5"/>
        <v>June</v>
      </c>
      <c r="I80" s="19">
        <f t="shared" si="6"/>
        <v>1296170</v>
      </c>
      <c r="J80" t="str">
        <f t="shared" si="7"/>
        <v>Oct</v>
      </c>
    </row>
    <row r="81" spans="1:10" x14ac:dyDescent="0.35">
      <c r="A81" s="18" t="s">
        <v>28</v>
      </c>
      <c r="B81" t="s">
        <v>12</v>
      </c>
      <c r="C81" t="s">
        <v>13</v>
      </c>
      <c r="D81" s="1">
        <v>20</v>
      </c>
      <c r="E81" s="2">
        <v>1174</v>
      </c>
      <c r="F81" s="2">
        <v>23480</v>
      </c>
      <c r="G81" t="s">
        <v>14</v>
      </c>
      <c r="H81" t="str">
        <f t="shared" si="5"/>
        <v>18/02/2024</v>
      </c>
      <c r="I81" s="19">
        <f t="shared" si="6"/>
        <v>45340</v>
      </c>
      <c r="J81" t="str">
        <f t="shared" si="7"/>
        <v>Feb</v>
      </c>
    </row>
    <row r="82" spans="1:10" x14ac:dyDescent="0.35">
      <c r="A82" s="18">
        <v>45474</v>
      </c>
      <c r="B82" t="s">
        <v>8</v>
      </c>
      <c r="C82" t="s">
        <v>13</v>
      </c>
      <c r="D82" s="1">
        <v>7</v>
      </c>
      <c r="E82" s="2">
        <v>370</v>
      </c>
      <c r="F82" s="2">
        <v>2590</v>
      </c>
      <c r="G82" t="s">
        <v>14</v>
      </c>
      <c r="H82" t="str">
        <f t="shared" si="5"/>
        <v>July</v>
      </c>
      <c r="I82" s="19">
        <f t="shared" si="6"/>
        <v>1307645</v>
      </c>
      <c r="J82" t="str">
        <f t="shared" si="7"/>
        <v>Mar</v>
      </c>
    </row>
    <row r="83" spans="1:10" x14ac:dyDescent="0.35">
      <c r="A83" s="18">
        <v>45567</v>
      </c>
      <c r="B83" t="s">
        <v>12</v>
      </c>
      <c r="C83" t="s">
        <v>25</v>
      </c>
      <c r="D83" s="1">
        <v>10</v>
      </c>
      <c r="E83" s="2">
        <v>420</v>
      </c>
      <c r="F83" s="2">
        <v>4200</v>
      </c>
      <c r="G83" t="s">
        <v>10</v>
      </c>
      <c r="H83" t="str">
        <f t="shared" si="5"/>
        <v>October</v>
      </c>
      <c r="I83" s="19">
        <f t="shared" si="6"/>
        <v>1341398</v>
      </c>
      <c r="J83" t="str">
        <f t="shared" si="7"/>
        <v>Aug</v>
      </c>
    </row>
    <row r="84" spans="1:10" x14ac:dyDescent="0.35">
      <c r="A84" s="18">
        <v>45384</v>
      </c>
      <c r="B84" t="s">
        <v>8</v>
      </c>
      <c r="C84" t="s">
        <v>13</v>
      </c>
      <c r="D84" s="1">
        <v>15</v>
      </c>
      <c r="E84" s="2">
        <v>922</v>
      </c>
      <c r="F84" s="2">
        <v>13830</v>
      </c>
      <c r="G84" t="s">
        <v>16</v>
      </c>
      <c r="H84" t="str">
        <f t="shared" si="5"/>
        <v>April</v>
      </c>
      <c r="I84" s="19">
        <f t="shared" si="6"/>
        <v>1275077</v>
      </c>
      <c r="J84" t="str">
        <f t="shared" si="7"/>
        <v>Jan</v>
      </c>
    </row>
    <row r="85" spans="1:10" x14ac:dyDescent="0.35">
      <c r="A85" s="18">
        <v>45323</v>
      </c>
      <c r="B85" t="s">
        <v>8</v>
      </c>
      <c r="C85" t="s">
        <v>9</v>
      </c>
      <c r="D85" s="1">
        <v>10</v>
      </c>
      <c r="E85" s="2">
        <v>1997</v>
      </c>
      <c r="F85" s="2">
        <v>19970</v>
      </c>
      <c r="G85" t="s">
        <v>16</v>
      </c>
      <c r="H85" t="str">
        <f t="shared" si="5"/>
        <v>February</v>
      </c>
      <c r="I85" s="19">
        <f t="shared" si="6"/>
        <v>1250941</v>
      </c>
      <c r="J85" t="str">
        <f t="shared" si="7"/>
        <v>Dec</v>
      </c>
    </row>
    <row r="86" spans="1:10" x14ac:dyDescent="0.35">
      <c r="A86" s="18">
        <v>45566</v>
      </c>
      <c r="B86" t="s">
        <v>21</v>
      </c>
      <c r="C86" t="s">
        <v>22</v>
      </c>
      <c r="D86" s="1">
        <v>2</v>
      </c>
      <c r="E86" s="2">
        <v>864</v>
      </c>
      <c r="F86" s="2">
        <v>1728</v>
      </c>
      <c r="G86" t="s">
        <v>16</v>
      </c>
      <c r="H86" t="str">
        <f t="shared" si="5"/>
        <v>October</v>
      </c>
      <c r="I86" s="19">
        <f t="shared" si="6"/>
        <v>1341002</v>
      </c>
      <c r="J86" t="str">
        <f t="shared" si="7"/>
        <v>Jul</v>
      </c>
    </row>
    <row r="87" spans="1:10" x14ac:dyDescent="0.35">
      <c r="A87" s="18" t="s">
        <v>26</v>
      </c>
      <c r="B87" t="s">
        <v>8</v>
      </c>
      <c r="C87" t="s">
        <v>13</v>
      </c>
      <c r="D87" s="1">
        <v>4</v>
      </c>
      <c r="E87" s="2">
        <v>273</v>
      </c>
      <c r="F87" s="2">
        <v>1092</v>
      </c>
      <c r="G87" t="s">
        <v>10</v>
      </c>
      <c r="H87" t="str">
        <f t="shared" si="5"/>
        <v>15/02/2024</v>
      </c>
      <c r="I87" s="19">
        <f t="shared" si="6"/>
        <v>45337</v>
      </c>
      <c r="J87" t="str">
        <f t="shared" si="7"/>
        <v>Feb</v>
      </c>
    </row>
    <row r="88" spans="1:10" x14ac:dyDescent="0.35">
      <c r="A88" s="18">
        <v>45414</v>
      </c>
      <c r="B88" t="s">
        <v>8</v>
      </c>
      <c r="C88" t="s">
        <v>22</v>
      </c>
      <c r="D88" s="1">
        <v>9</v>
      </c>
      <c r="E88" s="2">
        <v>1445</v>
      </c>
      <c r="F88" s="2">
        <v>13005</v>
      </c>
      <c r="G88" t="s">
        <v>16</v>
      </c>
      <c r="H88" t="str">
        <f t="shared" si="5"/>
        <v>May</v>
      </c>
      <c r="I88" s="19">
        <f t="shared" si="6"/>
        <v>1283904</v>
      </c>
      <c r="J88" t="str">
        <f t="shared" si="7"/>
        <v>Mar</v>
      </c>
    </row>
    <row r="89" spans="1:10" x14ac:dyDescent="0.35">
      <c r="A89" s="18" t="s">
        <v>46</v>
      </c>
      <c r="B89" t="s">
        <v>8</v>
      </c>
      <c r="C89" t="s">
        <v>13</v>
      </c>
      <c r="D89" s="1">
        <v>14</v>
      </c>
      <c r="E89" s="2">
        <v>229</v>
      </c>
      <c r="F89" s="2">
        <v>3206</v>
      </c>
      <c r="G89" t="s">
        <v>14</v>
      </c>
      <c r="H89" t="str">
        <f t="shared" si="5"/>
        <v>22/01/2024</v>
      </c>
      <c r="I89" s="19">
        <f t="shared" si="6"/>
        <v>45313</v>
      </c>
      <c r="J89" t="str">
        <f t="shared" si="7"/>
        <v>Jan</v>
      </c>
    </row>
    <row r="90" spans="1:10" x14ac:dyDescent="0.35">
      <c r="A90" s="18" t="s">
        <v>28</v>
      </c>
      <c r="B90" t="s">
        <v>21</v>
      </c>
      <c r="C90" t="s">
        <v>9</v>
      </c>
      <c r="D90" s="1">
        <v>15</v>
      </c>
      <c r="E90" s="2">
        <v>963</v>
      </c>
      <c r="F90" s="2">
        <v>14445</v>
      </c>
      <c r="G90" t="s">
        <v>10</v>
      </c>
      <c r="H90" t="str">
        <f t="shared" si="5"/>
        <v>18/02/2024</v>
      </c>
      <c r="I90" s="19">
        <f t="shared" si="6"/>
        <v>45340</v>
      </c>
      <c r="J90" t="str">
        <f t="shared" si="7"/>
        <v>Feb</v>
      </c>
    </row>
    <row r="91" spans="1:10" x14ac:dyDescent="0.35">
      <c r="A91" s="18">
        <v>45294</v>
      </c>
      <c r="B91" t="s">
        <v>8</v>
      </c>
      <c r="C91" t="s">
        <v>22</v>
      </c>
      <c r="D91" s="1">
        <v>14</v>
      </c>
      <c r="E91" s="2">
        <v>1701</v>
      </c>
      <c r="F91" s="2">
        <v>23814</v>
      </c>
      <c r="G91" t="s">
        <v>14</v>
      </c>
      <c r="H91" t="str">
        <f t="shared" si="5"/>
        <v>January</v>
      </c>
      <c r="I91" s="19">
        <f t="shared" si="6"/>
        <v>1242509</v>
      </c>
      <c r="J91" t="str">
        <f t="shared" si="7"/>
        <v>Nov</v>
      </c>
    </row>
    <row r="92" spans="1:10" x14ac:dyDescent="0.35">
      <c r="A92" s="18" t="s">
        <v>40</v>
      </c>
      <c r="B92" t="s">
        <v>8</v>
      </c>
      <c r="C92" t="s">
        <v>22</v>
      </c>
      <c r="D92" s="1">
        <v>12</v>
      </c>
      <c r="E92" s="2">
        <v>1938</v>
      </c>
      <c r="F92" s="2">
        <v>23256</v>
      </c>
      <c r="G92" t="s">
        <v>14</v>
      </c>
      <c r="H92" t="str">
        <f t="shared" si="5"/>
        <v>31/01/2024</v>
      </c>
      <c r="I92" s="19">
        <f t="shared" si="6"/>
        <v>45322</v>
      </c>
      <c r="J92" t="str">
        <f t="shared" si="7"/>
        <v>Jan</v>
      </c>
    </row>
    <row r="93" spans="1:10" x14ac:dyDescent="0.35">
      <c r="A93" s="18">
        <v>45445</v>
      </c>
      <c r="B93" t="s">
        <v>21</v>
      </c>
      <c r="C93" t="s">
        <v>13</v>
      </c>
      <c r="D93" s="1">
        <v>7</v>
      </c>
      <c r="E93" s="2">
        <v>1283</v>
      </c>
      <c r="F93" s="2">
        <v>8981</v>
      </c>
      <c r="G93" t="s">
        <v>10</v>
      </c>
      <c r="H93" t="str">
        <f t="shared" si="5"/>
        <v>June</v>
      </c>
      <c r="I93" s="19">
        <f t="shared" si="6"/>
        <v>1296170</v>
      </c>
      <c r="J93" t="str">
        <f t="shared" si="7"/>
        <v>Oct</v>
      </c>
    </row>
    <row r="94" spans="1:10" x14ac:dyDescent="0.35">
      <c r="A94" s="18">
        <v>45383</v>
      </c>
      <c r="B94" t="s">
        <v>8</v>
      </c>
      <c r="C94" t="s">
        <v>9</v>
      </c>
      <c r="D94" s="1">
        <v>16</v>
      </c>
      <c r="E94" s="2">
        <v>265</v>
      </c>
      <c r="F94" s="2">
        <v>4240</v>
      </c>
      <c r="G94" t="s">
        <v>16</v>
      </c>
      <c r="H94" t="str">
        <f t="shared" si="5"/>
        <v>April</v>
      </c>
      <c r="I94" s="19">
        <f t="shared" si="6"/>
        <v>1274682</v>
      </c>
      <c r="J94" t="str">
        <f t="shared" si="7"/>
        <v>Dec</v>
      </c>
    </row>
    <row r="95" spans="1:10" x14ac:dyDescent="0.35">
      <c r="A95" s="18" t="s">
        <v>24</v>
      </c>
      <c r="B95" t="s">
        <v>8</v>
      </c>
      <c r="C95" t="s">
        <v>22</v>
      </c>
      <c r="D95" s="1">
        <v>18</v>
      </c>
      <c r="E95" s="2">
        <v>1460</v>
      </c>
      <c r="F95" s="2">
        <v>26280</v>
      </c>
      <c r="G95" t="s">
        <v>10</v>
      </c>
      <c r="H95" t="str">
        <f t="shared" si="5"/>
        <v>21/01/2024</v>
      </c>
      <c r="I95" s="19">
        <f t="shared" si="6"/>
        <v>45312</v>
      </c>
      <c r="J95" t="str">
        <f t="shared" si="7"/>
        <v>Jan</v>
      </c>
    </row>
    <row r="96" spans="1:10" x14ac:dyDescent="0.35">
      <c r="A96" s="18">
        <v>45506</v>
      </c>
      <c r="B96" t="s">
        <v>8</v>
      </c>
      <c r="C96" t="s">
        <v>13</v>
      </c>
      <c r="D96" s="1">
        <v>12</v>
      </c>
      <c r="E96" s="2">
        <v>423</v>
      </c>
      <c r="F96" s="2">
        <v>5076</v>
      </c>
      <c r="G96" t="s">
        <v>14</v>
      </c>
      <c r="H96" t="str">
        <f t="shared" si="5"/>
        <v>August</v>
      </c>
      <c r="I96" s="19">
        <f t="shared" si="6"/>
        <v>1317261</v>
      </c>
      <c r="J96" t="str">
        <f t="shared" si="7"/>
        <v>Jul</v>
      </c>
    </row>
    <row r="97" spans="1:10" x14ac:dyDescent="0.35">
      <c r="A97" s="18">
        <v>45475</v>
      </c>
      <c r="B97" t="s">
        <v>12</v>
      </c>
      <c r="C97" t="s">
        <v>22</v>
      </c>
      <c r="D97" s="1">
        <v>10</v>
      </c>
      <c r="E97" s="2">
        <v>716</v>
      </c>
      <c r="F97" s="2">
        <v>7160</v>
      </c>
      <c r="G97" t="s">
        <v>16</v>
      </c>
      <c r="H97" t="str">
        <f t="shared" si="5"/>
        <v>July</v>
      </c>
      <c r="I97" s="19">
        <f t="shared" si="6"/>
        <v>1308039</v>
      </c>
      <c r="J97" t="str">
        <f t="shared" si="7"/>
        <v>Apr</v>
      </c>
    </row>
    <row r="98" spans="1:10" x14ac:dyDescent="0.35">
      <c r="A98" s="18" t="s">
        <v>26</v>
      </c>
      <c r="B98" t="s">
        <v>8</v>
      </c>
      <c r="C98" t="s">
        <v>13</v>
      </c>
      <c r="D98" s="1">
        <v>9</v>
      </c>
      <c r="E98" s="2">
        <v>837</v>
      </c>
      <c r="F98" s="2">
        <v>7533</v>
      </c>
      <c r="G98" t="s">
        <v>10</v>
      </c>
      <c r="H98" t="str">
        <f t="shared" si="5"/>
        <v>15/02/2024</v>
      </c>
      <c r="I98" s="19">
        <f t="shared" si="6"/>
        <v>45337</v>
      </c>
      <c r="J98" t="str">
        <f>TEXT(I98,"mmm")</f>
        <v>Feb</v>
      </c>
    </row>
    <row r="99" spans="1:10" x14ac:dyDescent="0.35">
      <c r="A99" s="18" t="s">
        <v>35</v>
      </c>
      <c r="B99" t="s">
        <v>21</v>
      </c>
      <c r="C99" t="s">
        <v>25</v>
      </c>
      <c r="D99" s="1">
        <v>4</v>
      </c>
      <c r="E99" s="2">
        <v>1766</v>
      </c>
      <c r="F99" s="2">
        <v>7064</v>
      </c>
      <c r="G99" t="s">
        <v>10</v>
      </c>
      <c r="H99" t="str">
        <f t="shared" si="5"/>
        <v>19/01/2024</v>
      </c>
      <c r="I99" s="19">
        <f t="shared" si="6"/>
        <v>45310</v>
      </c>
      <c r="J99" t="str">
        <f>TEXT(I99,"mmm")</f>
        <v>Jan</v>
      </c>
    </row>
    <row r="100" spans="1:10" x14ac:dyDescent="0.35">
      <c r="A100" s="18" t="s">
        <v>48</v>
      </c>
      <c r="B100" t="s">
        <v>21</v>
      </c>
      <c r="C100" t="s">
        <v>22</v>
      </c>
      <c r="D100" s="1">
        <v>9</v>
      </c>
      <c r="E100" s="2">
        <v>1132</v>
      </c>
      <c r="F100" s="2">
        <v>10188</v>
      </c>
      <c r="G100" t="s">
        <v>10</v>
      </c>
      <c r="H100" t="str">
        <f t="shared" si="5"/>
        <v>14/01/2024</v>
      </c>
      <c r="I100" s="19">
        <f t="shared" si="6"/>
        <v>45305</v>
      </c>
      <c r="J100" t="str">
        <f>TEXT(I100,"mmm")</f>
        <v>Jan</v>
      </c>
    </row>
    <row r="101" spans="1:10" x14ac:dyDescent="0.35">
      <c r="A101" s="18" t="s">
        <v>28</v>
      </c>
      <c r="B101" t="s">
        <v>12</v>
      </c>
      <c r="C101" t="s">
        <v>25</v>
      </c>
      <c r="D101" s="1">
        <v>1</v>
      </c>
      <c r="E101" s="2">
        <v>247</v>
      </c>
      <c r="F101" s="2">
        <v>247</v>
      </c>
      <c r="G101" t="s">
        <v>10</v>
      </c>
      <c r="H101" t="str">
        <f t="shared" si="5"/>
        <v>18/02/2024</v>
      </c>
      <c r="I101" s="19">
        <f t="shared" si="6"/>
        <v>45340</v>
      </c>
      <c r="J101" t="str">
        <f>TEXT(I101,"mmm")</f>
        <v>Feb</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O29"/>
  <sheetViews>
    <sheetView showGridLines="0" topLeftCell="B2" workbookViewId="0">
      <selection activeCell="F31" sqref="F31"/>
    </sheetView>
  </sheetViews>
  <sheetFormatPr defaultRowHeight="14.5" x14ac:dyDescent="0.35"/>
  <cols>
    <col min="1" max="1" width="15.453125" customWidth="1"/>
    <col min="3" max="3" width="13.1796875" bestFit="1" customWidth="1"/>
    <col min="4" max="4" width="15.54296875" style="16" bestFit="1" customWidth="1"/>
    <col min="6" max="6" width="13.1796875" bestFit="1" customWidth="1"/>
    <col min="7" max="7" width="15.453125" bestFit="1" customWidth="1"/>
    <col min="9" max="9" width="13.1796875" customWidth="1"/>
    <col min="10" max="10" width="15.54296875" customWidth="1"/>
    <col min="12" max="12" width="14.54296875" style="11" customWidth="1"/>
    <col min="14" max="14" width="13.81640625" bestFit="1" customWidth="1"/>
    <col min="15" max="15" width="22" bestFit="1" customWidth="1"/>
  </cols>
  <sheetData>
    <row r="2" spans="1:15" ht="25" x14ac:dyDescent="0.5">
      <c r="A2" s="7" t="s">
        <v>62</v>
      </c>
      <c r="C2" s="7" t="s">
        <v>67</v>
      </c>
      <c r="D2" s="15"/>
      <c r="F2" s="7" t="s">
        <v>68</v>
      </c>
      <c r="G2" s="7"/>
      <c r="I2" s="7" t="s">
        <v>70</v>
      </c>
      <c r="J2" s="7"/>
      <c r="L2" s="7" t="s">
        <v>71</v>
      </c>
      <c r="N2" t="s">
        <v>62</v>
      </c>
      <c r="O2" s="14">
        <f>A4</f>
        <v>1156239</v>
      </c>
    </row>
    <row r="3" spans="1:15" ht="25" x14ac:dyDescent="0.5">
      <c r="A3" t="s">
        <v>61</v>
      </c>
      <c r="C3" s="5" t="s">
        <v>65</v>
      </c>
      <c r="D3" s="16" t="s">
        <v>61</v>
      </c>
      <c r="F3" s="5" t="s">
        <v>65</v>
      </c>
      <c r="G3" t="s">
        <v>63</v>
      </c>
      <c r="I3" s="5" t="s">
        <v>65</v>
      </c>
      <c r="J3" t="s">
        <v>69</v>
      </c>
      <c r="L3" s="11" t="s">
        <v>69</v>
      </c>
      <c r="N3" t="s">
        <v>64</v>
      </c>
      <c r="O3" s="12">
        <f>A10</f>
        <v>1075</v>
      </c>
    </row>
    <row r="4" spans="1:15" ht="25" x14ac:dyDescent="0.5">
      <c r="A4" s="2">
        <v>1156239</v>
      </c>
      <c r="C4" s="6" t="s">
        <v>8</v>
      </c>
      <c r="D4" s="16">
        <v>463706</v>
      </c>
      <c r="F4" s="6" t="s">
        <v>25</v>
      </c>
      <c r="G4" s="4">
        <v>281</v>
      </c>
      <c r="I4" s="6" t="s">
        <v>10</v>
      </c>
      <c r="J4" s="4">
        <v>36</v>
      </c>
      <c r="L4" s="11">
        <v>100</v>
      </c>
      <c r="N4" t="s">
        <v>72</v>
      </c>
      <c r="O4" s="13">
        <f>L4</f>
        <v>100</v>
      </c>
    </row>
    <row r="5" spans="1:15" x14ac:dyDescent="0.35">
      <c r="C5" s="6" t="s">
        <v>21</v>
      </c>
      <c r="D5" s="16">
        <v>366509</v>
      </c>
      <c r="F5" s="6" t="s">
        <v>9</v>
      </c>
      <c r="G5" s="4">
        <v>212</v>
      </c>
      <c r="I5" s="6" t="s">
        <v>14</v>
      </c>
      <c r="J5" s="4">
        <v>35</v>
      </c>
    </row>
    <row r="6" spans="1:15" x14ac:dyDescent="0.35">
      <c r="C6" s="6" t="s">
        <v>12</v>
      </c>
      <c r="D6" s="16">
        <v>326024</v>
      </c>
      <c r="F6" s="6" t="s">
        <v>13</v>
      </c>
      <c r="G6" s="4">
        <v>293</v>
      </c>
      <c r="I6" s="6" t="s">
        <v>16</v>
      </c>
      <c r="J6" s="4">
        <v>29</v>
      </c>
    </row>
    <row r="7" spans="1:15" x14ac:dyDescent="0.35">
      <c r="C7" s="6" t="s">
        <v>66</v>
      </c>
      <c r="D7" s="16">
        <v>1156239</v>
      </c>
      <c r="F7" s="6" t="s">
        <v>22</v>
      </c>
      <c r="G7" s="4">
        <v>289</v>
      </c>
      <c r="I7" s="6" t="s">
        <v>66</v>
      </c>
      <c r="J7" s="4">
        <v>100</v>
      </c>
    </row>
    <row r="8" spans="1:15" x14ac:dyDescent="0.35">
      <c r="A8" s="7" t="s">
        <v>64</v>
      </c>
      <c r="F8" s="6" t="s">
        <v>66</v>
      </c>
      <c r="G8" s="4">
        <v>1075</v>
      </c>
    </row>
    <row r="9" spans="1:15" x14ac:dyDescent="0.35">
      <c r="A9" t="s">
        <v>63</v>
      </c>
    </row>
    <row r="10" spans="1:15" x14ac:dyDescent="0.35">
      <c r="A10" s="4">
        <v>1075</v>
      </c>
    </row>
    <row r="11" spans="1:15" x14ac:dyDescent="0.35">
      <c r="C11" s="7" t="s">
        <v>67</v>
      </c>
      <c r="D11" s="15"/>
    </row>
    <row r="12" spans="1:15" x14ac:dyDescent="0.35">
      <c r="C12" s="5" t="s">
        <v>65</v>
      </c>
      <c r="D12" s="16" t="s">
        <v>61</v>
      </c>
      <c r="I12" s="7" t="s">
        <v>87</v>
      </c>
      <c r="J12" s="7"/>
    </row>
    <row r="13" spans="1:15" x14ac:dyDescent="0.35">
      <c r="C13" s="6" t="s">
        <v>8</v>
      </c>
      <c r="D13" s="16">
        <v>463706</v>
      </c>
      <c r="I13" s="5" t="s">
        <v>65</v>
      </c>
      <c r="J13" t="s">
        <v>61</v>
      </c>
    </row>
    <row r="14" spans="1:15" x14ac:dyDescent="0.35">
      <c r="C14" s="6" t="s">
        <v>21</v>
      </c>
      <c r="D14" s="16">
        <v>366509</v>
      </c>
      <c r="I14" s="6" t="s">
        <v>76</v>
      </c>
      <c r="J14" s="16">
        <v>407006</v>
      </c>
    </row>
    <row r="15" spans="1:15" x14ac:dyDescent="0.35">
      <c r="C15" s="6" t="s">
        <v>12</v>
      </c>
      <c r="D15" s="16">
        <v>326024</v>
      </c>
      <c r="I15" s="6" t="s">
        <v>77</v>
      </c>
      <c r="J15" s="16">
        <v>368260</v>
      </c>
    </row>
    <row r="16" spans="1:15" x14ac:dyDescent="0.35">
      <c r="C16" s="6" t="s">
        <v>66</v>
      </c>
      <c r="D16" s="16">
        <v>1156239</v>
      </c>
      <c r="I16" s="6" t="s">
        <v>78</v>
      </c>
      <c r="J16" s="16">
        <v>77053</v>
      </c>
    </row>
    <row r="17" spans="1:10" x14ac:dyDescent="0.35">
      <c r="C17" s="6"/>
      <c r="F17" s="7"/>
      <c r="I17" s="6" t="s">
        <v>79</v>
      </c>
      <c r="J17" s="16">
        <v>89239</v>
      </c>
    </row>
    <row r="18" spans="1:10" x14ac:dyDescent="0.35">
      <c r="I18" s="6" t="s">
        <v>80</v>
      </c>
      <c r="J18" s="16">
        <v>18246</v>
      </c>
    </row>
    <row r="19" spans="1:10" x14ac:dyDescent="0.35">
      <c r="I19" s="6" t="s">
        <v>81</v>
      </c>
      <c r="J19" s="16">
        <v>47972</v>
      </c>
    </row>
    <row r="20" spans="1:10" x14ac:dyDescent="0.35">
      <c r="I20" s="6" t="s">
        <v>82</v>
      </c>
      <c r="J20" s="16">
        <v>31678</v>
      </c>
    </row>
    <row r="21" spans="1:10" x14ac:dyDescent="0.35">
      <c r="I21" s="6" t="s">
        <v>83</v>
      </c>
      <c r="J21" s="16">
        <v>23158</v>
      </c>
    </row>
    <row r="22" spans="1:10" x14ac:dyDescent="0.35">
      <c r="I22" s="6" t="s">
        <v>84</v>
      </c>
      <c r="J22" s="16">
        <v>37245</v>
      </c>
    </row>
    <row r="23" spans="1:10" x14ac:dyDescent="0.35">
      <c r="I23" s="6" t="s">
        <v>85</v>
      </c>
      <c r="J23" s="16">
        <v>24479</v>
      </c>
    </row>
    <row r="24" spans="1:10" x14ac:dyDescent="0.35">
      <c r="I24" s="6" t="s">
        <v>86</v>
      </c>
      <c r="J24" s="16">
        <v>31903</v>
      </c>
    </row>
    <row r="25" spans="1:10" x14ac:dyDescent="0.35">
      <c r="I25" s="6" t="s">
        <v>66</v>
      </c>
      <c r="J25" s="16">
        <v>1156239</v>
      </c>
    </row>
    <row r="27" spans="1:10" ht="17.5" x14ac:dyDescent="0.35">
      <c r="A27" s="8"/>
    </row>
    <row r="28" spans="1:10" ht="22.5" x14ac:dyDescent="0.45">
      <c r="A28" s="9"/>
    </row>
    <row r="29" spans="1:10" ht="22.5" x14ac:dyDescent="0.45">
      <c r="A29" s="10"/>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workbookViewId="0">
      <selection activeCell="R10" sqref="R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cleaned data</vt:lpstr>
      <vt:lpstr>Pivot table</vt:lpstr>
      <vt:lpstr>BI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zainab</cp:lastModifiedBy>
  <dcterms:created xsi:type="dcterms:W3CDTF">2026-03-23T06:49:40Z</dcterms:created>
  <dcterms:modified xsi:type="dcterms:W3CDTF">2026-06-17T12:19:11Z</dcterms:modified>
</cp:coreProperties>
</file>